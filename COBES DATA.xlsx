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10"/>
  </bookViews>
  <sheets>
    <sheet name="Socio-demographics" sheetId="5" r:id="rId1"/>
    <sheet name="MLO 1" sheetId="1" r:id="rId2"/>
    <sheet name="MLO 2" sheetId="2" r:id="rId3"/>
    <sheet name="MLO 3" sheetId="3" r:id="rId4"/>
    <sheet name="MLO 4" sheetId="4" r:id="rId5"/>
    <sheet name="Dashboard" sheetId="6" r:id="rId6"/>
    <sheet name="Waste &amp; Sewage Disposal System" sheetId="7" r:id="rId7"/>
    <sheet name="Prevalence of ailmen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<sst xmlns="http://schemas.openxmlformats.org/spreadsheetml/2006/main" count="132" uniqueCount="129">
  <si>
    <t>Age</t>
  </si>
  <si>
    <t>Sex</t>
  </si>
  <si>
    <t>Occupation</t>
  </si>
  <si>
    <t>Monthly Income per Household (₦)</t>
  </si>
  <si>
    <t>Religion</t>
  </si>
  <si>
    <t>Marital Status</t>
  </si>
  <si>
    <t>Ethnicity</t>
  </si>
  <si>
    <t>Highest Level of Education</t>
  </si>
  <si>
    <t>11-20</t>
  </si>
  <si>
    <t>Male</t>
  </si>
  <si>
    <t>Female</t>
  </si>
  <si>
    <t>Trader</t>
  </si>
  <si>
    <t>Less than 25,000</t>
  </si>
  <si>
    <t>Christianity</t>
  </si>
  <si>
    <t>Single</t>
  </si>
  <si>
    <t>Yoruba</t>
  </si>
  <si>
    <t>Illiterate</t>
  </si>
  <si>
    <t>21-30</t>
  </si>
  <si>
    <t>Civil Servant</t>
  </si>
  <si>
    <t>25,001-50,000</t>
  </si>
  <si>
    <t>Islam</t>
  </si>
  <si>
    <t>Married</t>
  </si>
  <si>
    <t>Hausa</t>
  </si>
  <si>
    <t>Primary School Certificate</t>
  </si>
  <si>
    <t>31-40</t>
  </si>
  <si>
    <t>Farmer</t>
  </si>
  <si>
    <t>50,001-75,000</t>
  </si>
  <si>
    <t>Traditionalist</t>
  </si>
  <si>
    <t>Divorced</t>
  </si>
  <si>
    <t>Other</t>
  </si>
  <si>
    <t>O'Level Certificate</t>
  </si>
  <si>
    <t>41-50</t>
  </si>
  <si>
    <t>Artisan</t>
  </si>
  <si>
    <t>75,001-100,000</t>
  </si>
  <si>
    <t>Widow(er)</t>
  </si>
  <si>
    <t>Degree Holder</t>
  </si>
  <si>
    <t>51-60</t>
  </si>
  <si>
    <t>Unemployed</t>
  </si>
  <si>
    <t>Above 100,001</t>
  </si>
  <si>
    <t>61+</t>
  </si>
  <si>
    <t>Student</t>
  </si>
  <si>
    <t>Retired</t>
  </si>
  <si>
    <t>Numbers &amp; Types of health facilities and services present in the community</t>
  </si>
  <si>
    <t>PHC</t>
  </si>
  <si>
    <t>Private hospital</t>
  </si>
  <si>
    <t>Medical Laboratories/ diagnostic centers</t>
  </si>
  <si>
    <t>Hospital based laborartoies</t>
  </si>
  <si>
    <t>Pharmacy</t>
  </si>
  <si>
    <t>Clinic</t>
  </si>
  <si>
    <t>Chemist Store</t>
  </si>
  <si>
    <t>Total</t>
  </si>
  <si>
    <t>Level of Usage of Health facilities by the Community</t>
  </si>
  <si>
    <t>Pharmacy/Chemist Stores</t>
  </si>
  <si>
    <t>Unlicensed Practitioners</t>
  </si>
  <si>
    <t>Level of Patient Satisfaction in Usage of Health Facilities</t>
  </si>
  <si>
    <t>Very Satisfied</t>
  </si>
  <si>
    <t>Satisfied</t>
  </si>
  <si>
    <t>Neutral</t>
  </si>
  <si>
    <t>Dissatisfied</t>
  </si>
  <si>
    <t>Very dissatisfied</t>
  </si>
  <si>
    <t>Level of Awareness and Usage of Laboratory Services</t>
  </si>
  <si>
    <t>Unaware</t>
  </si>
  <si>
    <t>Aware</t>
  </si>
  <si>
    <t>Aware &amp; Uses</t>
  </si>
  <si>
    <t>Aware but doesn’t use</t>
  </si>
  <si>
    <t>Challenges mitigating easy access to satisfactory health facilities</t>
  </si>
  <si>
    <t>Lack of Awareness</t>
  </si>
  <si>
    <t>Lack of Accessibility &amp; Affordability</t>
  </si>
  <si>
    <t>Inadequate laboratory services</t>
  </si>
  <si>
    <t>Long Turn-around Time</t>
  </si>
  <si>
    <t>No challenges</t>
  </si>
  <si>
    <t>Challenges inherent in healthcare providers and facilities hindering access to quality care</t>
  </si>
  <si>
    <t>1) Lack of electricity</t>
  </si>
  <si>
    <t>1.1) Backup Power Sources Available</t>
  </si>
  <si>
    <t>No electricity access</t>
  </si>
  <si>
    <t>Rarely electricity access</t>
  </si>
  <si>
    <t>Generator</t>
  </si>
  <si>
    <t>Solar Panels</t>
  </si>
  <si>
    <t>None</t>
  </si>
  <si>
    <t>2) Poor Infrastructure</t>
  </si>
  <si>
    <t>Adequate and functional</t>
  </si>
  <si>
    <t>Adequate but non-functional</t>
  </si>
  <si>
    <t>Inadequate but functional</t>
  </si>
  <si>
    <t>Inadequate and non-functional</t>
  </si>
  <si>
    <t>3) Workforce Shortages</t>
  </si>
  <si>
    <t>Adequate number of staff</t>
  </si>
  <si>
    <t>Inadequate number of staff</t>
  </si>
  <si>
    <t>4) Financial Constraints/Inadequate funding (from government, NGOs)</t>
  </si>
  <si>
    <t>Level of Government and private sector involvement in health provision</t>
  </si>
  <si>
    <t>Are healthcare initiatives offered by the government/private sector to the citizens of Shao?</t>
  </si>
  <si>
    <t>Yes</t>
  </si>
  <si>
    <t>No</t>
  </si>
  <si>
    <t>Healthcare initiatives offered by the government/private sector to the citizens of Shao</t>
  </si>
  <si>
    <t>Educational Outreaches</t>
  </si>
  <si>
    <t>Medical &amp; Diagnostic Outreaches</t>
  </si>
  <si>
    <t>Vaccination</t>
  </si>
  <si>
    <t>What are the types of sewage system in Shao?</t>
  </si>
  <si>
    <t>Water Closet</t>
  </si>
  <si>
    <t>Pit Latrine</t>
  </si>
  <si>
    <t>Open defecation</t>
  </si>
  <si>
    <t>What are the methods of waste disposal in Shao?</t>
  </si>
  <si>
    <t>Municipal garbage trucks</t>
  </si>
  <si>
    <t>Open Dumping</t>
  </si>
  <si>
    <t>Landfills</t>
  </si>
  <si>
    <t>Incineration</t>
  </si>
  <si>
    <t>Prevalence of Illnesses</t>
  </si>
  <si>
    <t>Ailment</t>
  </si>
  <si>
    <t>Number of persons with the disease</t>
  </si>
  <si>
    <t>Malaria</t>
  </si>
  <si>
    <t>Generalized Pain</t>
  </si>
  <si>
    <t>Ulcer</t>
  </si>
  <si>
    <t>Hypertension</t>
  </si>
  <si>
    <t>Chronic cough</t>
  </si>
  <si>
    <t>Typhoid</t>
  </si>
  <si>
    <t>Eye Defects</t>
  </si>
  <si>
    <t>Arthritis</t>
  </si>
  <si>
    <t>Headache</t>
  </si>
  <si>
    <t>Stroke</t>
  </si>
  <si>
    <t>Pregnancy</t>
  </si>
  <si>
    <t>Skin Itch</t>
  </si>
  <si>
    <t>Sickle Cell Anaemia</t>
  </si>
  <si>
    <t>Insomnia</t>
  </si>
  <si>
    <t>Infection</t>
  </si>
  <si>
    <t>Hyperglycemia</t>
  </si>
  <si>
    <t>Cardiovascular Diseases</t>
  </si>
  <si>
    <t>Lyphoma</t>
  </si>
  <si>
    <t>Hepatitis B</t>
  </si>
  <si>
    <t>Goitre</t>
  </si>
  <si>
    <t>Chicken Pox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</si>
</sst>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b/>
      <sz val="11"/>
      <color rgb="FF202124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/>
    <xf numFmtId="0" fontId="0" fillId="0" borderId="0" xfId="0" applyAlignment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DC3C7"/>
      <color rgb="006A1B9A"/>
      <color rgb="005DADE2"/>
      <color rgb="00A3E635"/>
      <color rgb="00FF6F61"/>
      <color rgb="001ABC9C"/>
      <color rgb="00F4D03F"/>
      <color rgb="000072C6"/>
      <color rgb="0034A853"/>
      <color rgb="00F39C1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microsoft.com/office/2011/relationships/chartColorStyle" Target="colors32.xml"/><Relationship Id="rId2" Type="http://schemas.microsoft.com/office/2011/relationships/chartStyle" Target="style32.xml"/><Relationship Id="rId1" Type="http://schemas.openxmlformats.org/officeDocument/2006/relationships/chartUserShapes" Target="../drawings/drawing7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72C6"/>
            </a:solidFill>
          </c:spPr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4D03F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ABC9C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DADE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'Socio-demographics'!$A$2:$A$12</c15:sqref>
                  </c15:fullRef>
                </c:ext>
              </c:extLst>
              <c:f>'Socio-demographics'!$A$2:$A$7</c:f>
              <c:strCache>
                <c:ptCount val="6"/>
                <c:pt idx="0" c:formatCode="@">
                  <c:v>11-20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'Socio-demographics'!$B$2:$B$12</c15:sqref>
                  </c15:fullRef>
                </c:ext>
              </c:extLst>
              <c:f>'Socio-demographics'!$B$2:$B$7</c:f>
              <c:numCache>
                <c:formatCode>General</c:formatCode>
                <c:ptCount val="6"/>
                <c:pt idx="0">
                  <c:v>49</c:v>
                </c:pt>
                <c:pt idx="1">
                  <c:v>141</c:v>
                </c:pt>
                <c:pt idx="2">
                  <c:v>111</c:v>
                </c:pt>
                <c:pt idx="3">
                  <c:v>80</c:v>
                </c:pt>
                <c:pt idx="4">
                  <c:v>39</c:v>
                </c:pt>
                <c:pt idx="5">
                  <c:v>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573381-1c38-454e-aaf8-ceb41fee5b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Sex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'Socio-demographics'!$D$2:$E$2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'Socio-demographics'!$D$3:$E$3</c:f>
              <c:numCache>
                <c:formatCode>General</c:formatCode>
                <c:ptCount val="2"/>
                <c:pt idx="0">
                  <c:v>230</c:v>
                </c:pt>
                <c:pt idx="1">
                  <c:v>267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4d2569-ac7f-4328-9c23-9a683c75e0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Occupation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4D03F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ABC9C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5DADE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A3E63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FF6F61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'Socio-demographics'!$G$2:$G$9</c:f>
              <c:strCache>
                <c:ptCount val="8"/>
                <c:pt idx="0">
                  <c:v>Trader</c:v>
                </c:pt>
                <c:pt idx="1">
                  <c:v>Civil Servant</c:v>
                </c:pt>
                <c:pt idx="2">
                  <c:v>Farmer</c:v>
                </c:pt>
                <c:pt idx="3">
                  <c:v>Artisan</c:v>
                </c:pt>
                <c:pt idx="4">
                  <c:v>Unemployed</c:v>
                </c:pt>
                <c:pt idx="5">
                  <c:v>Student</c:v>
                </c:pt>
                <c:pt idx="6">
                  <c:v>Retired</c:v>
                </c:pt>
                <c:pt idx="7">
                  <c:v>Other</c:v>
                </c:pt>
              </c:strCache>
            </c:strRef>
          </c:cat>
          <c:val>
            <c:numRef>
              <c:f>'Socio-demographics'!$H$2:$H$9</c:f>
              <c:numCache>
                <c:formatCode>General</c:formatCode>
                <c:ptCount val="8"/>
                <c:pt idx="0">
                  <c:v>173</c:v>
                </c:pt>
                <c:pt idx="1">
                  <c:v>18</c:v>
                </c:pt>
                <c:pt idx="2">
                  <c:v>36</c:v>
                </c:pt>
                <c:pt idx="3">
                  <c:v>143</c:v>
                </c:pt>
                <c:pt idx="4">
                  <c:v>20</c:v>
                </c:pt>
                <c:pt idx="5">
                  <c:v>54</c:v>
                </c:pt>
                <c:pt idx="6">
                  <c:v>10</c:v>
                </c:pt>
                <c:pt idx="7">
                  <c:v>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2bb620-dd50-401d-8d14-357d5ff5d5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 per Household (₦)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4D03F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ABC9C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'Socio-demographics'!$J$2:$J$6</c:f>
              <c:strCache>
                <c:ptCount val="5"/>
                <c:pt idx="0">
                  <c:v>Less than 25,000</c:v>
                </c:pt>
                <c:pt idx="1">
                  <c:v>25,001-50,000</c:v>
                </c:pt>
                <c:pt idx="2">
                  <c:v>50,001-75,000</c:v>
                </c:pt>
                <c:pt idx="3">
                  <c:v>75,001-100,000</c:v>
                </c:pt>
                <c:pt idx="4">
                  <c:v>Above 100,001</c:v>
                </c:pt>
              </c:strCache>
            </c:strRef>
          </c:cat>
          <c:val>
            <c:numRef>
              <c:f>'Socio-demographics'!$K$2:$K$6</c:f>
              <c:numCache>
                <c:formatCode>General</c:formatCode>
                <c:ptCount val="5"/>
                <c:pt idx="0">
                  <c:v>143</c:v>
                </c:pt>
                <c:pt idx="1">
                  <c:v>109</c:v>
                </c:pt>
                <c:pt idx="2">
                  <c:v>80</c:v>
                </c:pt>
                <c:pt idx="3">
                  <c:v>44</c:v>
                </c:pt>
                <c:pt idx="4">
                  <c:v>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ba66d2-106c-491e-98b4-4b14ad3384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Religion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'Socio-demographics'!$M$2:$M$4</c:f>
              <c:strCache>
                <c:ptCount val="3"/>
                <c:pt idx="0">
                  <c:v>Christianity</c:v>
                </c:pt>
                <c:pt idx="1">
                  <c:v>Islam</c:v>
                </c:pt>
                <c:pt idx="2">
                  <c:v>Traditionalist</c:v>
                </c:pt>
              </c:strCache>
            </c:strRef>
          </c:cat>
          <c:val>
            <c:numRef>
              <c:f>'Socio-demographics'!$N$2:$N$4</c:f>
              <c:numCache>
                <c:formatCode>General</c:formatCode>
                <c:ptCount val="3"/>
                <c:pt idx="0">
                  <c:v>282</c:v>
                </c:pt>
                <c:pt idx="1">
                  <c:v>195</c:v>
                </c:pt>
                <c:pt idx="2">
                  <c:v>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69b573-837a-45a8-98a2-7b83c4f269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Marital Status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'Socio-demographics'!$P$2:$P$5</c:f>
              <c:strCache>
                <c:ptCount val="4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  <c:pt idx="3">
                  <c:v>Widow(er)</c:v>
                </c:pt>
              </c:strCache>
            </c:strRef>
          </c:cat>
          <c:val>
            <c:numRef>
              <c:f>'Socio-demographics'!$Q$2:$Q$5</c:f>
              <c:numCache>
                <c:formatCode>General</c:formatCode>
                <c:ptCount val="4"/>
                <c:pt idx="0">
                  <c:v>131</c:v>
                </c:pt>
                <c:pt idx="1">
                  <c:v>330</c:v>
                </c:pt>
                <c:pt idx="2">
                  <c:v>2</c:v>
                </c:pt>
                <c:pt idx="3">
                  <c:v>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e889fd-42fa-4866-80c2-c1bcd0c20d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Ethnicity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'Socio-demographics'!$S$2:$S$4</c:f>
              <c:strCache>
                <c:ptCount val="3"/>
                <c:pt idx="0">
                  <c:v>Yoruba</c:v>
                </c:pt>
                <c:pt idx="1">
                  <c:v>Hausa</c:v>
                </c:pt>
                <c:pt idx="2">
                  <c:v>Other</c:v>
                </c:pt>
              </c:strCache>
            </c:strRef>
          </c:cat>
          <c:val>
            <c:numRef>
              <c:f>'Socio-demographics'!$T$2:$T$4</c:f>
              <c:numCache>
                <c:formatCode>General</c:formatCode>
                <c:ptCount val="3"/>
                <c:pt idx="0">
                  <c:v>433</c:v>
                </c:pt>
                <c:pt idx="1">
                  <c:v>24</c:v>
                </c:pt>
                <c:pt idx="2">
                  <c:v>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5cc127-c46c-4d7a-94ef-c899e554db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Level of Education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72C6"/>
            </a:solidFill>
          </c:spPr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4D03F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'Socio-demographics'!$V$2:$V$5</c:f>
              <c:strCache>
                <c:ptCount val="4"/>
                <c:pt idx="0">
                  <c:v>Illiterate</c:v>
                </c:pt>
                <c:pt idx="1">
                  <c:v>Primary School Certificate</c:v>
                </c:pt>
                <c:pt idx="2">
                  <c:v>O'Level Certificate</c:v>
                </c:pt>
                <c:pt idx="3">
                  <c:v>Degree Holder</c:v>
                </c:pt>
              </c:strCache>
            </c:strRef>
          </c:cat>
          <c:val>
            <c:numRef>
              <c:f>'Socio-demographics'!$W$2:$W$5</c:f>
              <c:numCache>
                <c:formatCode>General</c:formatCode>
                <c:ptCount val="4"/>
                <c:pt idx="0">
                  <c:v>102</c:v>
                </c:pt>
                <c:pt idx="1">
                  <c:v>80</c:v>
                </c:pt>
                <c:pt idx="2">
                  <c:v>181</c:v>
                </c:pt>
                <c:pt idx="3">
                  <c:v>134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ec6ce5-6356-4922-93c2-30420286fe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Level of Healthcare Utilization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'MLO 1'!$A$5:$D$5</c:f>
              <c:strCache>
                <c:ptCount val="4"/>
                <c:pt idx="0">
                  <c:v>PHC</c:v>
                </c:pt>
                <c:pt idx="1">
                  <c:v>Clinic</c:v>
                </c:pt>
                <c:pt idx="2">
                  <c:v>Pharmacy/Chemist Stores</c:v>
                </c:pt>
                <c:pt idx="3">
                  <c:v>Unlicensed Practitioners</c:v>
                </c:pt>
              </c:strCache>
            </c:strRef>
          </c:cat>
          <c:val>
            <c:numRef>
              <c:f>'MLO 1'!$A$6:$D$6</c:f>
              <c:numCache>
                <c:formatCode>General</c:formatCode>
                <c:ptCount val="4"/>
                <c:pt idx="0">
                  <c:v>229</c:v>
                </c:pt>
                <c:pt idx="1">
                  <c:v>174</c:v>
                </c:pt>
                <c:pt idx="2">
                  <c:v>196</c:v>
                </c:pt>
                <c:pt idx="3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09889977"/>
        <c:axId val="850852436"/>
      </c:barChart>
      <c:catAx>
        <c:axId val="40988997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Healthcare Facilities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852436"/>
        <c:crosses val="autoZero"/>
        <c:auto val="1"/>
        <c:lblAlgn val="ctr"/>
        <c:lblOffset val="100"/>
        <c:noMultiLvlLbl val="0"/>
      </c:catAx>
      <c:valAx>
        <c:axId val="8508524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Respondents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988997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eefa26d-9c39-4ff8-92ae-d57c77f898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Numbers &amp; Types of Health Facilities and Services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72C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34A85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F39C1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F4D03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1ABC9C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1'!$A$2:$G$2</c:f>
              <c:strCache>
                <c:ptCount val="7"/>
                <c:pt idx="0">
                  <c:v>PHC</c:v>
                </c:pt>
                <c:pt idx="1">
                  <c:v>Private hospital</c:v>
                </c:pt>
                <c:pt idx="2">
                  <c:v>Medical Laboratories/ diagnostic centers</c:v>
                </c:pt>
                <c:pt idx="3">
                  <c:v>Hospital based laborartoies</c:v>
                </c:pt>
                <c:pt idx="4">
                  <c:v>Pharmacy</c:v>
                </c:pt>
                <c:pt idx="5">
                  <c:v>Clinic</c:v>
                </c:pt>
                <c:pt idx="6">
                  <c:v>Chemist Store</c:v>
                </c:pt>
              </c:strCache>
            </c:strRef>
          </c:cat>
          <c:val>
            <c:numRef>
              <c:f>'MLO 1'!$A$3:$G$3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5450766453729"/>
          <c:y val="0.243924875348724"/>
          <c:w val="0.357530329161692"/>
          <c:h val="0.70881827757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ab812c-cc21-418a-9da3-3fdd946adf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Level of Patient Satisfaction in Usage of Health Facilities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1ABC9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0072C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34A85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39C1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F4D03F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2'!$A$2:$E$2</c:f>
              <c:strCache>
                <c:ptCount val="5"/>
                <c:pt idx="0">
                  <c:v>Very Satisfied</c:v>
                </c:pt>
                <c:pt idx="1">
                  <c:v>Satisfied</c:v>
                </c:pt>
                <c:pt idx="2">
                  <c:v>Neutral</c:v>
                </c:pt>
                <c:pt idx="3">
                  <c:v>Dissatisfied</c:v>
                </c:pt>
                <c:pt idx="4">
                  <c:v>Very dissatisfied</c:v>
                </c:pt>
              </c:strCache>
            </c:strRef>
          </c:cat>
          <c:val>
            <c:numRef>
              <c:f>'MLO 2'!$A$3:$E$3</c:f>
              <c:numCache>
                <c:formatCode>General</c:formatCode>
                <c:ptCount val="5"/>
                <c:pt idx="0">
                  <c:v>101</c:v>
                </c:pt>
                <c:pt idx="1">
                  <c:v>200</c:v>
                </c:pt>
                <c:pt idx="2">
                  <c:v>134</c:v>
                </c:pt>
                <c:pt idx="3">
                  <c:v>20</c:v>
                </c:pt>
                <c:pt idx="4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1da75f-8c46-4994-9e80-be38334e68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Level of Awareness and Usage of Laboratory Services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7711875576644"/>
          <c:y val="0.153667054714785"/>
          <c:w val="0.421774087254514"/>
          <c:h val="0.745052386495926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('MLO 2'!$A$5,'MLO 2'!$C$5:$D$5)</c:f>
              <c:strCache>
                <c:ptCount val="3"/>
                <c:pt idx="0">
                  <c:v>Unaware</c:v>
                </c:pt>
                <c:pt idx="1">
                  <c:v>Aware &amp; Uses</c:v>
                </c:pt>
                <c:pt idx="2">
                  <c:v>Aware but doesn’t use</c:v>
                </c:pt>
              </c:strCache>
            </c:strRef>
          </c:cat>
          <c:val>
            <c:numRef>
              <c:f>('MLO 2'!$A$6,'MLO 2'!$C$6:$D$6)</c:f>
              <c:numCache>
                <c:formatCode>General</c:formatCode>
                <c:ptCount val="3"/>
                <c:pt idx="0">
                  <c:v>245</c:v>
                </c:pt>
                <c:pt idx="1">
                  <c:v>185</c:v>
                </c:pt>
                <c:pt idx="2">
                  <c:v>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8a1b5a-c5c1-4099-a811-f96f7a0a6d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Challenges mitigating easy access to satisfactory health facilities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91286397218601"/>
          <c:y val="0.218913006898873"/>
          <c:w val="0.413841807909605"/>
          <c:h val="0.640922093218913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4D03F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ABC9C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2'!$A$8:$E$8</c:f>
              <c:strCache>
                <c:ptCount val="5"/>
                <c:pt idx="0">
                  <c:v>Lack of Awareness</c:v>
                </c:pt>
                <c:pt idx="1">
                  <c:v>Lack of Accessibility &amp; Affordability</c:v>
                </c:pt>
                <c:pt idx="2">
                  <c:v>Inadequate laboratory services</c:v>
                </c:pt>
                <c:pt idx="3">
                  <c:v>Long Turn-around Time</c:v>
                </c:pt>
                <c:pt idx="4">
                  <c:v>No challenges</c:v>
                </c:pt>
              </c:strCache>
            </c:strRef>
          </c:cat>
          <c:val>
            <c:numRef>
              <c:f>'MLO 2'!$A$9:$E$9</c:f>
              <c:numCache>
                <c:formatCode>General</c:formatCode>
                <c:ptCount val="5"/>
                <c:pt idx="0">
                  <c:v>245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  <c:pt idx="4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22546c-56d2-4c3c-ba7e-9bd781bcde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SATISFACTION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'MLO 2'!$A$2:$E$2</c:f>
              <c:strCache>
                <c:ptCount val="5"/>
                <c:pt idx="0">
                  <c:v>Very Satisfied</c:v>
                </c:pt>
                <c:pt idx="1">
                  <c:v>Satisfied</c:v>
                </c:pt>
                <c:pt idx="2">
                  <c:v>Neutral</c:v>
                </c:pt>
                <c:pt idx="3">
                  <c:v>Dissatisfied</c:v>
                </c:pt>
                <c:pt idx="4">
                  <c:v>Very dissatisfied</c:v>
                </c:pt>
              </c:strCache>
            </c:strRef>
          </c:cat>
          <c:val>
            <c:numRef>
              <c:f>'MLO 2'!$A$3:$E$3</c:f>
              <c:numCache>
                <c:formatCode>General</c:formatCode>
                <c:ptCount val="5"/>
                <c:pt idx="0">
                  <c:v>101</c:v>
                </c:pt>
                <c:pt idx="1">
                  <c:v>200</c:v>
                </c:pt>
                <c:pt idx="2">
                  <c:v>134</c:v>
                </c:pt>
                <c:pt idx="3">
                  <c:v>20</c:v>
                </c:pt>
                <c:pt idx="4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800208"/>
        <c:axId val="301808528"/>
      </c:radarChart>
      <c:catAx>
        <c:axId val="3018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808528"/>
        <c:crosses val="autoZero"/>
        <c:auto val="1"/>
        <c:lblAlgn val="ctr"/>
        <c:lblOffset val="100"/>
        <c:noMultiLvlLbl val="0"/>
      </c:catAx>
      <c:valAx>
        <c:axId val="3018085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80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7d8a6f-5580-40f5-9664-f6fd6002f4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AWARENESSS AND USAGE OF LAB SERVICES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'MLO 2'!$A$5:$D$5</c:f>
              <c:strCache>
                <c:ptCount val="4"/>
                <c:pt idx="0">
                  <c:v>Unaware</c:v>
                </c:pt>
                <c:pt idx="1">
                  <c:v>Aware</c:v>
                </c:pt>
                <c:pt idx="2">
                  <c:v>Aware &amp; Uses</c:v>
                </c:pt>
                <c:pt idx="3">
                  <c:v>Aware but doesn’t use</c:v>
                </c:pt>
              </c:strCache>
            </c:strRef>
          </c:cat>
          <c:val>
            <c:numRef>
              <c:f>'MLO 2'!$A$6:$D$6</c:f>
              <c:numCache>
                <c:formatCode>General</c:formatCode>
                <c:ptCount val="4"/>
                <c:pt idx="0">
                  <c:v>245</c:v>
                </c:pt>
                <c:pt idx="1">
                  <c:v>252</c:v>
                </c:pt>
                <c:pt idx="2">
                  <c:v>185</c:v>
                </c:pt>
                <c:pt idx="3">
                  <c:v>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481296"/>
        <c:axId val="297490864"/>
      </c:radarChart>
      <c:catAx>
        <c:axId val="29748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490864"/>
        <c:crosses val="autoZero"/>
        <c:auto val="1"/>
        <c:lblAlgn val="ctr"/>
        <c:lblOffset val="100"/>
        <c:noMultiLvlLbl val="0"/>
      </c:catAx>
      <c:valAx>
        <c:axId val="297490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48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c2748f9-8b22-48eb-9d6d-8fc43902fb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'MLO 2'!$A$8:$E$8</c:f>
              <c:strCache>
                <c:ptCount val="5"/>
                <c:pt idx="0">
                  <c:v>Lack of Awareness</c:v>
                </c:pt>
                <c:pt idx="1">
                  <c:v>Lack of Accessibility &amp; Affordability</c:v>
                </c:pt>
                <c:pt idx="2">
                  <c:v>Inadequate laboratory services</c:v>
                </c:pt>
                <c:pt idx="3">
                  <c:v>Long Turn-around Time</c:v>
                </c:pt>
                <c:pt idx="4">
                  <c:v>No challenges</c:v>
                </c:pt>
              </c:strCache>
            </c:strRef>
          </c:cat>
          <c:val>
            <c:numRef>
              <c:f>'MLO 2'!$A$9:$E$9</c:f>
              <c:numCache>
                <c:formatCode>General</c:formatCode>
                <c:ptCount val="5"/>
                <c:pt idx="0">
                  <c:v>245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  <c:pt idx="4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1813104"/>
        <c:axId val="301813936"/>
      </c:barChart>
      <c:catAx>
        <c:axId val="301813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813936"/>
        <c:crosses val="autoZero"/>
        <c:auto val="1"/>
        <c:lblAlgn val="ctr"/>
        <c:lblOffset val="100"/>
        <c:noMultiLvlLbl val="0"/>
      </c:catAx>
      <c:valAx>
        <c:axId val="30181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81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f9814ae-c98d-4651-bfb3-7ec637d09a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Level of Access to Electricity</a:t>
            </a:r>
            <a:endParaRPr lang="en-US"/>
          </a:p>
        </c:rich>
      </c:tx>
      <c:layout>
        <c:manualLayout>
          <c:xMode val="edge"/>
          <c:yMode val="edge"/>
          <c:x val="0.294539473684211"/>
          <c:y val="0.01851851851851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3'!$A$3:$B$3</c:f>
              <c:strCache>
                <c:ptCount val="2"/>
                <c:pt idx="0">
                  <c:v>No electricity access</c:v>
                </c:pt>
                <c:pt idx="1">
                  <c:v>Rarely electricity access</c:v>
                </c:pt>
              </c:strCache>
            </c:strRef>
          </c:cat>
          <c:val>
            <c:numRef>
              <c:f>'MLO 3'!$A$4:$B$4</c:f>
              <c:numCache>
                <c:formatCode>General</c:formatCode>
                <c:ptCount val="2"/>
                <c:pt idx="0">
                  <c:v>14</c:v>
                </c:pt>
                <c:pt idx="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d12844-e49c-4cc7-a226-dd877341f4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Backup Power Sources Available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72C6"/>
            </a:solidFill>
          </c:spPr>
          <c:explosion val="0"/>
          <c:dPt>
            <c:idx val="0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3'!$C$3:$E$3</c:f>
              <c:strCache>
                <c:ptCount val="3"/>
                <c:pt idx="0">
                  <c:v>Generator</c:v>
                </c:pt>
                <c:pt idx="1">
                  <c:v>Solar Panels</c:v>
                </c:pt>
                <c:pt idx="2">
                  <c:v>None</c:v>
                </c:pt>
              </c:strCache>
            </c:strRef>
          </c:cat>
          <c:val>
            <c:numRef>
              <c:f>'MLO 3'!$C$4:$E$4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ee4bca-fb8d-4896-90d5-d4276f2615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Level of adequacy and functionality of Infrastructure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3'!$A$6:$D$6</c:f>
              <c:strCache>
                <c:ptCount val="4"/>
                <c:pt idx="0">
                  <c:v>Adequate and functional</c:v>
                </c:pt>
                <c:pt idx="1">
                  <c:v>Adequate but non-functional</c:v>
                </c:pt>
                <c:pt idx="2">
                  <c:v>Inadequate but functional</c:v>
                </c:pt>
                <c:pt idx="3">
                  <c:v>Inadequate and non-functional</c:v>
                </c:pt>
              </c:strCache>
            </c:strRef>
          </c:cat>
          <c:val>
            <c:numRef>
              <c:f>'MLO 3'!$A$7:$D$7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13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0a6f20-20a3-4bdc-9a65-170eda03b1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Staff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3'!$A$9:$B$9</c:f>
              <c:strCache>
                <c:ptCount val="2"/>
                <c:pt idx="0">
                  <c:v>Adequate number of staff</c:v>
                </c:pt>
                <c:pt idx="1">
                  <c:v>Inadequate number of staff</c:v>
                </c:pt>
              </c:strCache>
            </c:strRef>
          </c:cat>
          <c:val>
            <c:numRef>
              <c:f>'MLO 3'!$A$10:$B$10</c:f>
              <c:numCache>
                <c:formatCode>General</c:formatCode>
                <c:ptCount val="2"/>
                <c:pt idx="0">
                  <c:v>0</c:v>
                </c:pt>
                <c:pt idx="1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7c2d9a-4e9d-4dea-8d16-ace5900974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Involvement of Government &amp; Private Sector in Provision of Health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545055737313859"/>
          <c:y val="0.281018578423375"/>
          <c:w val="0.319936777738653"/>
          <c:h val="0.52649867886350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4'!$A$3:$B$3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'MLO 4'!$A$4:$B$4</c:f>
              <c:numCache>
                <c:formatCode>General</c:formatCode>
                <c:ptCount val="2"/>
                <c:pt idx="0">
                  <c:v>364</c:v>
                </c:pt>
                <c:pt idx="1">
                  <c:v>133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a03367-faff-4e8a-8fed-f744f75d6f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 Initiatives offered by the Government &amp; Private Sector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"Healthcare Initiatives"</c:f>
              <c:strCache>
                <c:ptCount val="1"/>
                <c:pt idx="0">
                  <c:v>Healthcare Initiatives</c:v>
                </c:pt>
              </c:strCache>
            </c:strRef>
          </c:tx>
          <c:spPr>
            <a:solidFill>
              <a:srgbClr val="0072C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'MLO 4'!$A$6:$C$6</c:f>
              <c:strCache>
                <c:ptCount val="3"/>
                <c:pt idx="0">
                  <c:v>Educational Outreaches</c:v>
                </c:pt>
                <c:pt idx="1">
                  <c:v>Medical &amp; Diagnostic Outreaches</c:v>
                </c:pt>
                <c:pt idx="2">
                  <c:v>Vaccination</c:v>
                </c:pt>
              </c:strCache>
            </c:strRef>
          </c:cat>
          <c:val>
            <c:numRef>
              <c:f>'MLO 4'!$A$7:$C$7</c:f>
              <c:numCache>
                <c:formatCode>General</c:formatCode>
                <c:ptCount val="3"/>
                <c:pt idx="0">
                  <c:v>207</c:v>
                </c:pt>
                <c:pt idx="1">
                  <c:v>293</c:v>
                </c:pt>
                <c:pt idx="2">
                  <c:v>245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59360990"/>
        <c:axId val="819243931"/>
      </c:barChart>
      <c:catAx>
        <c:axId val="35936099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Healthcare Initiatives</a:t>
                </a:r>
                <a:endParaRPr 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243931"/>
        <c:crosses val="autoZero"/>
        <c:auto val="1"/>
        <c:lblAlgn val="ctr"/>
        <c:lblOffset val="100"/>
        <c:noMultiLvlLbl val="0"/>
      </c:catAx>
      <c:valAx>
        <c:axId val="8192439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 of beneficiaries</a:t>
                </a:r>
                <a:endParaRPr 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3609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6d1025-5c10-40b6-aa64-b46eac458f2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34A85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4D03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0072C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1'!$A$2:$G$2</c:f>
              <c:strCache>
                <c:ptCount val="7"/>
                <c:pt idx="0">
                  <c:v>PHC</c:v>
                </c:pt>
                <c:pt idx="1">
                  <c:v>Private hospital</c:v>
                </c:pt>
                <c:pt idx="2">
                  <c:v>Medical Laboratories/ diagnostic centers</c:v>
                </c:pt>
                <c:pt idx="3">
                  <c:v>Hospital based laborartoies</c:v>
                </c:pt>
                <c:pt idx="4">
                  <c:v>Pharmacy</c:v>
                </c:pt>
                <c:pt idx="5">
                  <c:v>Clinic</c:v>
                </c:pt>
                <c:pt idx="6">
                  <c:v>Chemist Store</c:v>
                </c:pt>
              </c:strCache>
            </c:strRef>
          </c:cat>
          <c:val>
            <c:numRef>
              <c:f>'MLO 1'!$A$3:$G$3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5450766453729"/>
          <c:y val="0.0413055757978207"/>
          <c:w val="0.357530329161692"/>
          <c:h val="0.9114374787096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ab812c-cc21-418a-9da3-3fdd946adff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>
                <a:solidFill>
                  <a:schemeClr val="accent5">
                    <a:lumMod val="75000"/>
                  </a:schemeClr>
                </a:solidFill>
              </a:rPr>
              <a:t>HEALTH FACILITIES USAGE COUNT</a:t>
            </a:r>
            <a:endParaRPr lang="en-US" sz="1600" b="0">
              <a:solidFill>
                <a:schemeClr val="accent5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"Health Facilities"</c:f>
              <c:strCache>
                <c:ptCount val="1"/>
                <c:pt idx="0">
                  <c:v>Health Facilities</c:v>
                </c:pt>
              </c:strCache>
            </c:strRef>
          </c:tx>
          <c:spPr>
            <a:solidFill>
              <a:srgbClr val="0072C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1'!$A$5:$D$5</c:f>
              <c:strCache>
                <c:ptCount val="4"/>
                <c:pt idx="0">
                  <c:v>PHC</c:v>
                </c:pt>
                <c:pt idx="1">
                  <c:v>Clinic</c:v>
                </c:pt>
                <c:pt idx="2">
                  <c:v>Pharmacy/Chemist Stores</c:v>
                </c:pt>
                <c:pt idx="3">
                  <c:v>Unlicensed Practitioners</c:v>
                </c:pt>
              </c:strCache>
            </c:strRef>
          </c:cat>
          <c:val>
            <c:numRef>
              <c:f>'MLO 1'!$A$6:$D$6</c:f>
              <c:numCache>
                <c:formatCode>General</c:formatCode>
                <c:ptCount val="4"/>
                <c:pt idx="0">
                  <c:v>229</c:v>
                </c:pt>
                <c:pt idx="1">
                  <c:v>174</c:v>
                </c:pt>
                <c:pt idx="2">
                  <c:v>196</c:v>
                </c:pt>
                <c:pt idx="3">
                  <c:v>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72415889"/>
        <c:axId val="162313430"/>
      </c:barChart>
      <c:catAx>
        <c:axId val="9724158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2313430"/>
        <c:crosses val="autoZero"/>
        <c:auto val="1"/>
        <c:lblAlgn val="ctr"/>
        <c:lblOffset val="100"/>
        <c:noMultiLvlLbl val="0"/>
      </c:catAx>
      <c:valAx>
        <c:axId val="16231343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41588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041eef-1ca7-4c7a-abd4-b985aada4a8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accent5">
                    <a:lumMod val="75000"/>
                  </a:schemeClr>
                </a:solidFill>
              </a:rPr>
              <a:t>PATIENT SATISFACTION USING HEALTH FACILITIES</a:t>
            </a:r>
            <a:endParaRPr lang="en-US" baseline="0">
              <a:solidFill>
                <a:schemeClr val="accent5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98990813648294"/>
          <c:y val="0.229769233391281"/>
          <c:w val="0.425962817147856"/>
          <c:h val="0.663838156594062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0.0555555555555556"/>
                  <c:y val="-0.01731601731601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2'!$A$2:$E$2</c:f>
              <c:strCache>
                <c:ptCount val="5"/>
                <c:pt idx="0">
                  <c:v>Very Satisfied</c:v>
                </c:pt>
                <c:pt idx="1">
                  <c:v>Satisfied</c:v>
                </c:pt>
                <c:pt idx="2">
                  <c:v>Neutral</c:v>
                </c:pt>
                <c:pt idx="3">
                  <c:v>Dissatisfied</c:v>
                </c:pt>
                <c:pt idx="4">
                  <c:v>Very dissatisfied</c:v>
                </c:pt>
              </c:strCache>
            </c:strRef>
          </c:cat>
          <c:val>
            <c:numRef>
              <c:f>'MLO 2'!$A$3:$E$3</c:f>
              <c:numCache>
                <c:formatCode>General</c:formatCode>
                <c:ptCount val="5"/>
                <c:pt idx="0">
                  <c:v>101</c:v>
                </c:pt>
                <c:pt idx="1">
                  <c:v>200</c:v>
                </c:pt>
                <c:pt idx="2">
                  <c:v>134</c:v>
                </c:pt>
                <c:pt idx="3">
                  <c:v>20</c:v>
                </c:pt>
                <c:pt idx="4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01800208"/>
        <c:axId val="301808528"/>
      </c:radarChart>
      <c:catAx>
        <c:axId val="3018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808528"/>
        <c:crosses val="autoZero"/>
        <c:auto val="1"/>
        <c:lblAlgn val="ctr"/>
        <c:lblOffset val="100"/>
        <c:noMultiLvlLbl val="0"/>
      </c:catAx>
      <c:valAx>
        <c:axId val="3018085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80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cac1477-ff2d-40b1-ae3e-072bd5b817e3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aseline="0">
                <a:solidFill>
                  <a:schemeClr val="accent5">
                    <a:lumMod val="75000"/>
                  </a:schemeClr>
                </a:solidFill>
              </a:rPr>
              <a:t>AWARENESSS AND USAGE OF LAB SERVICES</a:t>
            </a:r>
            <a:endParaRPr lang="en-US" sz="1500" baseline="0">
              <a:solidFill>
                <a:schemeClr val="accent5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00277777777777778"/>
                  <c:y val="0.04166666666666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7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2'!$A$5:$D$5</c:f>
              <c:strCache>
                <c:ptCount val="4"/>
                <c:pt idx="0">
                  <c:v>Unaware</c:v>
                </c:pt>
                <c:pt idx="1">
                  <c:v>Aware</c:v>
                </c:pt>
                <c:pt idx="2">
                  <c:v>Aware &amp; Uses</c:v>
                </c:pt>
                <c:pt idx="3">
                  <c:v>Aware but doesn’t use</c:v>
                </c:pt>
              </c:strCache>
            </c:strRef>
          </c:cat>
          <c:val>
            <c:numRef>
              <c:f>'MLO 2'!$A$6:$D$6</c:f>
              <c:numCache>
                <c:formatCode>General</c:formatCode>
                <c:ptCount val="4"/>
                <c:pt idx="0">
                  <c:v>245</c:v>
                </c:pt>
                <c:pt idx="1">
                  <c:v>252</c:v>
                </c:pt>
                <c:pt idx="2">
                  <c:v>185</c:v>
                </c:pt>
                <c:pt idx="3">
                  <c:v>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97481296"/>
        <c:axId val="297490864"/>
      </c:radarChart>
      <c:catAx>
        <c:axId val="29748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490864"/>
        <c:crosses val="autoZero"/>
        <c:auto val="1"/>
        <c:lblAlgn val="ctr"/>
        <c:lblOffset val="100"/>
        <c:noMultiLvlLbl val="0"/>
      </c:catAx>
      <c:valAx>
        <c:axId val="297490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48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2d07e78-0372-4068-9ca8-4c928c4df2e9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40" baseline="0">
                <a:solidFill>
                  <a:schemeClr val="accent5">
                    <a:lumMod val="75000"/>
                  </a:schemeClr>
                </a:solidFill>
              </a:rPr>
              <a:t>CHALLENGES IN ACCESSING HEALTH FACILITIES</a:t>
            </a:r>
            <a:endParaRPr lang="en-US" sz="1440" baseline="0">
              <a:solidFill>
                <a:schemeClr val="accent5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2'!$A$8:$E$8</c:f>
              <c:strCache>
                <c:ptCount val="5"/>
                <c:pt idx="0">
                  <c:v>Lack of Awareness</c:v>
                </c:pt>
                <c:pt idx="1">
                  <c:v>Lack of Accessibility &amp; Affordability</c:v>
                </c:pt>
                <c:pt idx="2">
                  <c:v>Inadequate laboratory services</c:v>
                </c:pt>
                <c:pt idx="3">
                  <c:v>Long Turn-around Time</c:v>
                </c:pt>
                <c:pt idx="4">
                  <c:v>No challenges</c:v>
                </c:pt>
              </c:strCache>
            </c:strRef>
          </c:cat>
          <c:val>
            <c:numRef>
              <c:f>'MLO 2'!$A$9:$E$9</c:f>
              <c:numCache>
                <c:formatCode>General</c:formatCode>
                <c:ptCount val="5"/>
                <c:pt idx="0">
                  <c:v>245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  <c:pt idx="4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1813104"/>
        <c:axId val="301813936"/>
      </c:barChart>
      <c:catAx>
        <c:axId val="301813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813936"/>
        <c:crosses val="autoZero"/>
        <c:auto val="1"/>
        <c:lblAlgn val="ctr"/>
        <c:lblOffset val="100"/>
        <c:noMultiLvlLbl val="0"/>
      </c:catAx>
      <c:valAx>
        <c:axId val="30181393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81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c349e3a-ccd9-43b1-9db0-d9ae47561c61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cap="all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 cap="all" baseline="0"/>
              <a:t>Level of Access to Electricity</a:t>
            </a:r>
            <a:endParaRPr lang="en-US" b="0" i="0" cap="all" baseline="0"/>
          </a:p>
        </c:rich>
      </c:tx>
      <c:layout>
        <c:manualLayout>
          <c:xMode val="edge"/>
          <c:yMode val="edge"/>
          <c:x val="0.294539473684211"/>
          <c:y val="0.01851851851851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3'!$A$3:$B$3</c:f>
              <c:strCache>
                <c:ptCount val="2"/>
                <c:pt idx="0">
                  <c:v>No electricity access</c:v>
                </c:pt>
                <c:pt idx="1">
                  <c:v>Rarely electricity access</c:v>
                </c:pt>
              </c:strCache>
            </c:strRef>
          </c:cat>
          <c:val>
            <c:numRef>
              <c:f>'MLO 3'!$A$4:$B$4</c:f>
              <c:numCache>
                <c:formatCode>General</c:formatCode>
                <c:ptCount val="2"/>
                <c:pt idx="0">
                  <c:v>14</c:v>
                </c:pt>
                <c:pt idx="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3c5935-eff6-41df-8766-bb2115c556db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cap="all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 cap="all" baseline="0"/>
              <a:t>Backup Power Sources Available</a:t>
            </a:r>
            <a:endParaRPr lang="en-US" b="0" i="0" cap="all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72C6"/>
            </a:solidFill>
          </c:spPr>
          <c:explosion val="0"/>
          <c:dPt>
            <c:idx val="0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3'!$C$3:$E$3</c:f>
              <c:strCache>
                <c:ptCount val="3"/>
                <c:pt idx="0">
                  <c:v>Generator</c:v>
                </c:pt>
                <c:pt idx="1">
                  <c:v>Solar Panels</c:v>
                </c:pt>
                <c:pt idx="2">
                  <c:v>None</c:v>
                </c:pt>
              </c:strCache>
            </c:strRef>
          </c:cat>
          <c:val>
            <c:numRef>
              <c:f>'MLO 3'!$C$4:$E$4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9985fa-71a0-4bc2-9ecb-5d40a1e3cb19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 cap="all" baseline="0"/>
              <a:t>adequacy and functionality of Infrastructure</a:t>
            </a:r>
            <a:endParaRPr lang="en-US" b="0" i="0" cap="all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18855270347483"/>
          <c:y val="0.253337443395784"/>
          <c:w val="0.483439534890461"/>
          <c:h val="0.716466482837185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3'!$A$6:$D$6</c:f>
              <c:strCache>
                <c:ptCount val="4"/>
                <c:pt idx="0">
                  <c:v>Adequate and functional</c:v>
                </c:pt>
                <c:pt idx="1">
                  <c:v>Adequate but non-functional</c:v>
                </c:pt>
                <c:pt idx="2">
                  <c:v>Inadequate but functional</c:v>
                </c:pt>
                <c:pt idx="3">
                  <c:v>Inadequate and non-functional</c:v>
                </c:pt>
              </c:strCache>
            </c:strRef>
          </c:cat>
          <c:val>
            <c:numRef>
              <c:f>'MLO 3'!$A$7:$D$7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13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13417d-c29b-452c-bf50-33c3a0e4047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cap="all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 cap="all" baseline="0"/>
              <a:t>WORKFORCE</a:t>
            </a:r>
            <a:endParaRPr lang="en-US" b="0" i="0" cap="all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3'!$A$9:$B$9</c:f>
              <c:strCache>
                <c:ptCount val="2"/>
                <c:pt idx="0">
                  <c:v>Adequate number of staff</c:v>
                </c:pt>
                <c:pt idx="1">
                  <c:v>Inadequate number of staff</c:v>
                </c:pt>
              </c:strCache>
            </c:strRef>
          </c:cat>
          <c:val>
            <c:numRef>
              <c:f>'MLO 3'!$A$10:$B$10</c:f>
              <c:numCache>
                <c:formatCode>General</c:formatCode>
                <c:ptCount val="2"/>
                <c:pt idx="0">
                  <c:v>0</c:v>
                </c:pt>
                <c:pt idx="1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9e614e-df6a-4745-bcce-f190967eb9ee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53792898304026"/>
          <c:y val="0.104324409678532"/>
          <c:w val="0.491400359781866"/>
          <c:h val="0.79895187712561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'MLO 4'!$A$3:$B$3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'MLO 4'!$A$4:$B$4</c:f>
              <c:numCache>
                <c:formatCode>General</c:formatCode>
                <c:ptCount val="2"/>
                <c:pt idx="0">
                  <c:v>364</c:v>
                </c:pt>
                <c:pt idx="1">
                  <c:v>133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f44fc5f-67e7-495e-b3f8-20f7e57bd41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 cap="all" baseline="0"/>
              <a:t>Healthcare Initiatives offered by the Government &amp; Private Sector</a:t>
            </a:r>
            <a:endParaRPr lang="en-US" b="0" i="0" cap="all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"Healthcare Initiatives"</c:f>
              <c:strCache>
                <c:ptCount val="1"/>
                <c:pt idx="0">
                  <c:v>Healthcare Initiatives</c:v>
                </c:pt>
              </c:strCache>
            </c:strRef>
          </c:tx>
          <c:spPr>
            <a:solidFill>
              <a:srgbClr val="0072C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'MLO 4'!$A$6:$C$6</c:f>
              <c:strCache>
                <c:ptCount val="3"/>
                <c:pt idx="0">
                  <c:v>Educational Outreaches</c:v>
                </c:pt>
                <c:pt idx="1">
                  <c:v>Medical &amp; Diagnostic Outreaches</c:v>
                </c:pt>
                <c:pt idx="2">
                  <c:v>Vaccination</c:v>
                </c:pt>
              </c:strCache>
            </c:strRef>
          </c:cat>
          <c:val>
            <c:numRef>
              <c:f>'MLO 4'!$A$7:$C$7</c:f>
              <c:numCache>
                <c:formatCode>General</c:formatCode>
                <c:ptCount val="3"/>
                <c:pt idx="0">
                  <c:v>207</c:v>
                </c:pt>
                <c:pt idx="1">
                  <c:v>293</c:v>
                </c:pt>
                <c:pt idx="2">
                  <c:v>245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59360990"/>
        <c:axId val="819243931"/>
      </c:barChart>
      <c:catAx>
        <c:axId val="3593609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243931"/>
        <c:crosses val="autoZero"/>
        <c:auto val="1"/>
        <c:lblAlgn val="ctr"/>
        <c:lblOffset val="100"/>
        <c:noMultiLvlLbl val="0"/>
      </c:catAx>
      <c:valAx>
        <c:axId val="8192439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/>
                  <a:t>Beneficiaries</a:t>
                </a:r>
                <a:endParaRPr lang="en-US" sz="1400" b="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93609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90ed994-d741-4fe1-880d-48d4b433723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Sewage Disposal System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72C6"/>
            </a:solidFill>
          </c:spPr>
          <c:explosion val="0"/>
          <c:dPt>
            <c:idx val="0"/>
            <c:bubble3D val="0"/>
            <c:spPr>
              <a:solidFill>
                <a:srgbClr val="0072C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34A85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39C1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'Waste &amp; Sewage Disposal System'!$A$2:$C$2</c:f>
              <c:strCache>
                <c:ptCount val="3"/>
                <c:pt idx="0">
                  <c:v>Water Closet</c:v>
                </c:pt>
                <c:pt idx="1">
                  <c:v>Pit Latrine</c:v>
                </c:pt>
                <c:pt idx="2">
                  <c:v>Open defecation</c:v>
                </c:pt>
              </c:strCache>
            </c:strRef>
          </c:cat>
          <c:val>
            <c:numRef>
              <c:f>'Waste &amp; Sewage Disposal System'!$A$3:$C$3</c:f>
              <c:numCache>
                <c:formatCode>General</c:formatCode>
                <c:ptCount val="3"/>
                <c:pt idx="0">
                  <c:v>183</c:v>
                </c:pt>
                <c:pt idx="1">
                  <c:v>93</c:v>
                </c:pt>
                <c:pt idx="2">
                  <c:v>221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2733dc-95c3-415f-8075-0f9d354d68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Waste Disposal System</a:t>
            </a:r>
          </a:p>
        </c:rich>
      </c:tx>
      <c:layout>
        <c:manualLayout>
          <c:xMode val="edge"/>
          <c:yMode val="edge"/>
          <c:x val="0.412960526315789"/>
          <c:y val="0.03240740740740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'Waste &amp; Sewage Disposal System'!$A$5:$D$5</c:f>
              <c:strCache>
                <c:ptCount val="4"/>
                <c:pt idx="0">
                  <c:v>Municipal garbage trucks</c:v>
                </c:pt>
                <c:pt idx="1">
                  <c:v>Open Dumping</c:v>
                </c:pt>
                <c:pt idx="2">
                  <c:v>Landfills</c:v>
                </c:pt>
                <c:pt idx="3">
                  <c:v>Incineration</c:v>
                </c:pt>
              </c:strCache>
            </c:strRef>
          </c:cat>
          <c:val>
            <c:numRef>
              <c:f>'Waste &amp; Sewage Disposal System'!$A$6:$D$6</c:f>
              <c:numCache>
                <c:formatCode>General</c:formatCode>
                <c:ptCount val="4"/>
                <c:pt idx="0">
                  <c:v>0</c:v>
                </c:pt>
                <c:pt idx="1">
                  <c:v>244</c:v>
                </c:pt>
                <c:pt idx="2">
                  <c:v>82</c:v>
                </c:pt>
                <c:pt idx="3">
                  <c:v>293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446659872"/>
        <c:axId val="484394945"/>
      </c:barChart>
      <c:catAx>
        <c:axId val="446659872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394945"/>
        <c:crosses val="autoZero"/>
        <c:auto val="1"/>
        <c:lblAlgn val="ctr"/>
        <c:lblOffset val="100"/>
        <c:noMultiLvlLbl val="0"/>
      </c:catAx>
      <c:valAx>
        <c:axId val="4843949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respondents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65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90b9f5e-a302-49eb-9294-232fdf1dc4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Prevalence of Ailments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'Prevalence of ailments'!$B$2</c:f>
              <c:strCache>
                <c:ptCount val="1"/>
                <c:pt idx="0">
                  <c:v>Number of persons with the disease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'Prevalence of ailments'!$A$3:$A$23</c15:sqref>
                  </c15:fullRef>
                </c:ext>
              </c:extLst>
              <c:f>('Prevalence of ailments'!$A$3:$A$14,'Prevalence of ailments'!$A$16:$A$23)</c:f>
              <c:strCache>
                <c:ptCount val="20"/>
                <c:pt idx="0">
                  <c:v>Malaria</c:v>
                </c:pt>
                <c:pt idx="1">
                  <c:v>Generalized Pain</c:v>
                </c:pt>
                <c:pt idx="2">
                  <c:v>Ulcer</c:v>
                </c:pt>
                <c:pt idx="3">
                  <c:v>Hypertension</c:v>
                </c:pt>
                <c:pt idx="4">
                  <c:v>Chronic cough</c:v>
                </c:pt>
                <c:pt idx="5">
                  <c:v>Typhoid</c:v>
                </c:pt>
                <c:pt idx="6">
                  <c:v>Eye Defects</c:v>
                </c:pt>
                <c:pt idx="7">
                  <c:v>Arthritis</c:v>
                </c:pt>
                <c:pt idx="8">
                  <c:v>Headache</c:v>
                </c:pt>
                <c:pt idx="9">
                  <c:v>Stroke</c:v>
                </c:pt>
                <c:pt idx="10">
                  <c:v>Pregnancy</c:v>
                </c:pt>
                <c:pt idx="11">
                  <c:v>Skin Itch</c:v>
                </c:pt>
                <c:pt idx="12">
                  <c:v>Insomnia</c:v>
                </c:pt>
                <c:pt idx="13">
                  <c:v>Infection</c:v>
                </c:pt>
                <c:pt idx="14">
                  <c:v>Hyperglycemia</c:v>
                </c:pt>
                <c:pt idx="15">
                  <c:v>Cardiovascular Diseases</c:v>
                </c:pt>
                <c:pt idx="16">
                  <c:v>Lyphoma</c:v>
                </c:pt>
                <c:pt idx="17">
                  <c:v>Hepatitis B</c:v>
                </c:pt>
                <c:pt idx="18">
                  <c:v>Goitre</c:v>
                </c:pt>
                <c:pt idx="19">
                  <c:v>Chicken Pox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'Prevalence of ailments'!$B$3:$B$23</c15:sqref>
                  </c15:fullRef>
                </c:ext>
              </c:extLst>
              <c:f>('Prevalence of ailments'!$B$3:$B$14,'Prevalence of ailments'!$B$16:$B$23)</c:f>
              <c:numCache>
                <c:formatCode>General</c:formatCode>
                <c:ptCount val="20"/>
                <c:pt idx="0">
                  <c:v>93</c:v>
                </c:pt>
                <c:pt idx="1">
                  <c:v>47</c:v>
                </c:pt>
                <c:pt idx="2">
                  <c:v>32</c:v>
                </c:pt>
                <c:pt idx="3">
                  <c:v>31</c:v>
                </c:pt>
                <c:pt idx="4">
                  <c:v>12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39637536"/>
        <c:axId val="713210362"/>
      </c:barChart>
      <c:catAx>
        <c:axId val="439637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210362"/>
        <c:crosses val="autoZero"/>
        <c:auto val="1"/>
        <c:lblAlgn val="ctr"/>
        <c:lblOffset val="100"/>
        <c:noMultiLvlLbl val="0"/>
      </c:catAx>
      <c:valAx>
        <c:axId val="71321036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63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63870fa-8adb-4b35-94ef-d82ddd68bb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0.xml"/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1.xml"/><Relationship Id="rId8" Type="http://schemas.openxmlformats.org/officeDocument/2006/relationships/chart" Target="../charts/chart30.xml"/><Relationship Id="rId7" Type="http://schemas.openxmlformats.org/officeDocument/2006/relationships/chart" Target="../charts/chart29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1" Type="http://schemas.openxmlformats.org/officeDocument/2006/relationships/chart" Target="../charts/chart33.xml"/><Relationship Id="rId10" Type="http://schemas.openxmlformats.org/officeDocument/2006/relationships/chart" Target="../charts/chart32.xml"/><Relationship Id="rId1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111125</xdr:colOff>
      <xdr:row>13</xdr:row>
      <xdr:rowOff>24765</xdr:rowOff>
    </xdr:from>
    <xdr:to>
      <xdr:col>5</xdr:col>
      <xdr:colOff>361950</xdr:colOff>
      <xdr:row>28</xdr:row>
      <xdr:rowOff>92710</xdr:rowOff>
    </xdr:to>
    <xdr:graphicFrame>
      <xdr:nvGraphicFramePr>
        <xdr:cNvPr id="2" name="Chart 1"/>
        <xdr:cNvGraphicFramePr/>
      </xdr:nvGraphicFramePr>
      <xdr:xfrm>
        <a:off x="111125" y="2577465"/>
        <a:ext cx="3292475" cy="2830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133985</xdr:colOff>
      <xdr:row>29</xdr:row>
      <xdr:rowOff>106680</xdr:rowOff>
    </xdr:from>
    <xdr:to>
      <xdr:col>5</xdr:col>
      <xdr:colOff>374650</xdr:colOff>
      <xdr:row>42</xdr:row>
      <xdr:rowOff>81280</xdr:rowOff>
    </xdr:to>
    <xdr:graphicFrame>
      <xdr:nvGraphicFramePr>
        <xdr:cNvPr id="3" name="Chart 2"/>
        <xdr:cNvGraphicFramePr/>
      </xdr:nvGraphicFramePr>
      <xdr:xfrm>
        <a:off x="133985" y="5605780"/>
        <a:ext cx="3282315" cy="2368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218440</xdr:colOff>
      <xdr:row>9</xdr:row>
      <xdr:rowOff>83820</xdr:rowOff>
    </xdr:from>
    <xdr:to>
      <xdr:col>11</xdr:col>
      <xdr:colOff>586740</xdr:colOff>
      <xdr:row>27</xdr:row>
      <xdr:rowOff>130175</xdr:rowOff>
    </xdr:to>
    <xdr:graphicFrame>
      <xdr:nvGraphicFramePr>
        <xdr:cNvPr id="4" name="Chart 3"/>
        <xdr:cNvGraphicFramePr/>
      </xdr:nvGraphicFramePr>
      <xdr:xfrm>
        <a:off x="3868420" y="1899920"/>
        <a:ext cx="4198620" cy="3361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290195</xdr:colOff>
      <xdr:row>29</xdr:row>
      <xdr:rowOff>113665</xdr:rowOff>
    </xdr:from>
    <xdr:to>
      <xdr:col>11</xdr:col>
      <xdr:colOff>260985</xdr:colOff>
      <xdr:row>44</xdr:row>
      <xdr:rowOff>146050</xdr:rowOff>
    </xdr:to>
    <xdr:graphicFrame>
      <xdr:nvGraphicFramePr>
        <xdr:cNvPr id="5" name="Chart 4"/>
        <xdr:cNvGraphicFramePr/>
      </xdr:nvGraphicFramePr>
      <xdr:xfrm>
        <a:off x="3940175" y="5612765"/>
        <a:ext cx="3801110" cy="2794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70485</xdr:colOff>
      <xdr:row>14</xdr:row>
      <xdr:rowOff>10160</xdr:rowOff>
    </xdr:from>
    <xdr:to>
      <xdr:col>17</xdr:col>
      <xdr:colOff>342900</xdr:colOff>
      <xdr:row>28</xdr:row>
      <xdr:rowOff>163195</xdr:rowOff>
    </xdr:to>
    <xdr:graphicFrame>
      <xdr:nvGraphicFramePr>
        <xdr:cNvPr id="6" name="Chart 5"/>
        <xdr:cNvGraphicFramePr/>
      </xdr:nvGraphicFramePr>
      <xdr:xfrm>
        <a:off x="8159115" y="2747010"/>
        <a:ext cx="3613785" cy="2731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429895</xdr:colOff>
      <xdr:row>29</xdr:row>
      <xdr:rowOff>123825</xdr:rowOff>
    </xdr:from>
    <xdr:to>
      <xdr:col>18</xdr:col>
      <xdr:colOff>132715</xdr:colOff>
      <xdr:row>51</xdr:row>
      <xdr:rowOff>10160</xdr:rowOff>
    </xdr:to>
    <xdr:graphicFrame>
      <xdr:nvGraphicFramePr>
        <xdr:cNvPr id="7" name="Chart 6"/>
        <xdr:cNvGraphicFramePr/>
      </xdr:nvGraphicFramePr>
      <xdr:xfrm>
        <a:off x="7910195" y="5622925"/>
        <a:ext cx="4260850" cy="3937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161925</xdr:colOff>
      <xdr:row>14</xdr:row>
      <xdr:rowOff>13970</xdr:rowOff>
    </xdr:from>
    <xdr:to>
      <xdr:col>23</xdr:col>
      <xdr:colOff>255270</xdr:colOff>
      <xdr:row>29</xdr:row>
      <xdr:rowOff>140335</xdr:rowOff>
    </xdr:to>
    <xdr:graphicFrame>
      <xdr:nvGraphicFramePr>
        <xdr:cNvPr id="8" name="Chart 7"/>
        <xdr:cNvGraphicFramePr/>
      </xdr:nvGraphicFramePr>
      <xdr:xfrm>
        <a:off x="12200255" y="2750820"/>
        <a:ext cx="4123055" cy="2888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382905</xdr:colOff>
      <xdr:row>30</xdr:row>
      <xdr:rowOff>111125</xdr:rowOff>
    </xdr:from>
    <xdr:to>
      <xdr:col>23</xdr:col>
      <xdr:colOff>234950</xdr:colOff>
      <xdr:row>45</xdr:row>
      <xdr:rowOff>72390</xdr:rowOff>
    </xdr:to>
    <xdr:graphicFrame>
      <xdr:nvGraphicFramePr>
        <xdr:cNvPr id="9" name="Chart 8"/>
        <xdr:cNvGraphicFramePr/>
      </xdr:nvGraphicFramePr>
      <xdr:xfrm>
        <a:off x="12421235" y="5794375"/>
        <a:ext cx="3881755" cy="2723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473710</xdr:colOff>
      <xdr:row>11</xdr:row>
      <xdr:rowOff>154940</xdr:rowOff>
    </xdr:from>
    <xdr:to>
      <xdr:col>7</xdr:col>
      <xdr:colOff>409575</xdr:colOff>
      <xdr:row>29</xdr:row>
      <xdr:rowOff>99060</xdr:rowOff>
    </xdr:to>
    <xdr:graphicFrame>
      <xdr:nvGraphicFramePr>
        <xdr:cNvPr id="4" name="Chart 3"/>
        <xdr:cNvGraphicFramePr/>
      </xdr:nvGraphicFramePr>
      <xdr:xfrm>
        <a:off x="1102360" y="2180590"/>
        <a:ext cx="6261735" cy="3258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546735</xdr:colOff>
      <xdr:row>4</xdr:row>
      <xdr:rowOff>158750</xdr:rowOff>
    </xdr:from>
    <xdr:to>
      <xdr:col>18</xdr:col>
      <xdr:colOff>561975</xdr:colOff>
      <xdr:row>19</xdr:row>
      <xdr:rowOff>1905</xdr:rowOff>
    </xdr:to>
    <xdr:graphicFrame>
      <xdr:nvGraphicFramePr>
        <xdr:cNvPr id="3" name="Chart 1"/>
        <xdr:cNvGraphicFramePr/>
      </xdr:nvGraphicFramePr>
      <xdr:xfrm>
        <a:off x="8758555" y="895350"/>
        <a:ext cx="5673090" cy="2605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11430</xdr:colOff>
      <xdr:row>0</xdr:row>
      <xdr:rowOff>635</xdr:rowOff>
    </xdr:from>
    <xdr:to>
      <xdr:col>14</xdr:col>
      <xdr:colOff>507365</xdr:colOff>
      <xdr:row>14</xdr:row>
      <xdr:rowOff>173990</xdr:rowOff>
    </xdr:to>
    <xdr:graphicFrame>
      <xdr:nvGraphicFramePr>
        <xdr:cNvPr id="2" name="Chart 1"/>
        <xdr:cNvGraphicFramePr/>
      </xdr:nvGraphicFramePr>
      <xdr:xfrm>
        <a:off x="5468620" y="635"/>
        <a:ext cx="5525135" cy="3119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249555</xdr:colOff>
      <xdr:row>0</xdr:row>
      <xdr:rowOff>77470</xdr:rowOff>
    </xdr:from>
    <xdr:to>
      <xdr:col>23</xdr:col>
      <xdr:colOff>459105</xdr:colOff>
      <xdr:row>15</xdr:row>
      <xdr:rowOff>111760</xdr:rowOff>
    </xdr:to>
    <xdr:graphicFrame>
      <xdr:nvGraphicFramePr>
        <xdr:cNvPr id="3" name="Chart 2"/>
        <xdr:cNvGraphicFramePr/>
      </xdr:nvGraphicFramePr>
      <xdr:xfrm>
        <a:off x="11364595" y="77470"/>
        <a:ext cx="5238750" cy="316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481330</xdr:colOff>
      <xdr:row>16</xdr:row>
      <xdr:rowOff>13970</xdr:rowOff>
    </xdr:from>
    <xdr:to>
      <xdr:col>14</xdr:col>
      <xdr:colOff>610870</xdr:colOff>
      <xdr:row>36</xdr:row>
      <xdr:rowOff>159385</xdr:rowOff>
    </xdr:to>
    <xdr:graphicFrame>
      <xdr:nvGraphicFramePr>
        <xdr:cNvPr id="5" name="Chart 4"/>
        <xdr:cNvGraphicFramePr/>
      </xdr:nvGraphicFramePr>
      <xdr:xfrm>
        <a:off x="5309870" y="3328670"/>
        <a:ext cx="5787390" cy="3828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326572</xdr:colOff>
      <xdr:row>17</xdr:row>
      <xdr:rowOff>36739</xdr:rowOff>
    </xdr:from>
    <xdr:to>
      <xdr:col>23</xdr:col>
      <xdr:colOff>108858</xdr:colOff>
      <xdr:row>31</xdr:row>
      <xdr:rowOff>112939</xdr:rowOff>
    </xdr:to>
    <xdr:graphicFrame>
      <xdr:nvGraphicFramePr>
        <xdr:cNvPr id="6" name="Chart 5"/>
        <xdr:cNvGraphicFramePr/>
      </xdr:nvGraphicFramePr>
      <xdr:xfrm>
        <a:off x="11441430" y="3535045"/>
        <a:ext cx="4811395" cy="2654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40822</xdr:colOff>
      <xdr:row>36</xdr:row>
      <xdr:rowOff>172809</xdr:rowOff>
    </xdr:from>
    <xdr:to>
      <xdr:col>23</xdr:col>
      <xdr:colOff>421822</xdr:colOff>
      <xdr:row>51</xdr:row>
      <xdr:rowOff>58509</xdr:rowOff>
    </xdr:to>
    <xdr:graphicFrame>
      <xdr:nvGraphicFramePr>
        <xdr:cNvPr id="7" name="Chart 6"/>
        <xdr:cNvGraphicFramePr/>
      </xdr:nvGraphicFramePr>
      <xdr:xfrm>
        <a:off x="11784330" y="7170420"/>
        <a:ext cx="478155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272143</xdr:colOff>
      <xdr:row>38</xdr:row>
      <xdr:rowOff>104774</xdr:rowOff>
    </xdr:from>
    <xdr:to>
      <xdr:col>14</xdr:col>
      <xdr:colOff>54429</xdr:colOff>
      <xdr:row>52</xdr:row>
      <xdr:rowOff>180974</xdr:rowOff>
    </xdr:to>
    <xdr:graphicFrame>
      <xdr:nvGraphicFramePr>
        <xdr:cNvPr id="9" name="Chart 8"/>
        <xdr:cNvGraphicFramePr/>
      </xdr:nvGraphicFramePr>
      <xdr:xfrm>
        <a:off x="5728970" y="7470140"/>
        <a:ext cx="4811395" cy="2654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432920</xdr:colOff>
      <xdr:row>0</xdr:row>
      <xdr:rowOff>90207</xdr:rowOff>
    </xdr:from>
    <xdr:to>
      <xdr:col>13</xdr:col>
      <xdr:colOff>417419</xdr:colOff>
      <xdr:row>13</xdr:row>
      <xdr:rowOff>71157</xdr:rowOff>
    </xdr:to>
    <xdr:graphicFrame>
      <xdr:nvGraphicFramePr>
        <xdr:cNvPr id="2" name="Chart 1"/>
        <xdr:cNvGraphicFramePr/>
      </xdr:nvGraphicFramePr>
      <xdr:xfrm>
        <a:off x="6368415" y="90170"/>
        <a:ext cx="4851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163978</xdr:colOff>
      <xdr:row>0</xdr:row>
      <xdr:rowOff>113179</xdr:rowOff>
    </xdr:from>
    <xdr:to>
      <xdr:col>22</xdr:col>
      <xdr:colOff>113178</xdr:colOff>
      <xdr:row>13</xdr:row>
      <xdr:rowOff>94129</xdr:rowOff>
    </xdr:to>
    <xdr:graphicFrame>
      <xdr:nvGraphicFramePr>
        <xdr:cNvPr id="3" name="Chart 2"/>
        <xdr:cNvGraphicFramePr/>
      </xdr:nvGraphicFramePr>
      <xdr:xfrm>
        <a:off x="11574780" y="113030"/>
        <a:ext cx="48158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337297</xdr:colOff>
      <xdr:row>14</xdr:row>
      <xdr:rowOff>72465</xdr:rowOff>
    </xdr:from>
    <xdr:to>
      <xdr:col>13</xdr:col>
      <xdr:colOff>434714</xdr:colOff>
      <xdr:row>28</xdr:row>
      <xdr:rowOff>161365</xdr:rowOff>
    </xdr:to>
    <xdr:graphicFrame>
      <xdr:nvGraphicFramePr>
        <xdr:cNvPr id="4" name="Chart 3"/>
        <xdr:cNvGraphicFramePr/>
      </xdr:nvGraphicFramePr>
      <xdr:xfrm>
        <a:off x="6273165" y="3018790"/>
        <a:ext cx="496379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93569</xdr:colOff>
      <xdr:row>14</xdr:row>
      <xdr:rowOff>72465</xdr:rowOff>
    </xdr:from>
    <xdr:to>
      <xdr:col>22</xdr:col>
      <xdr:colOff>42769</xdr:colOff>
      <xdr:row>29</xdr:row>
      <xdr:rowOff>53415</xdr:rowOff>
    </xdr:to>
    <xdr:graphicFrame>
      <xdr:nvGraphicFramePr>
        <xdr:cNvPr id="7" name="Chart 6"/>
        <xdr:cNvGraphicFramePr/>
      </xdr:nvGraphicFramePr>
      <xdr:xfrm>
        <a:off x="11504295" y="3018790"/>
        <a:ext cx="48158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501650</xdr:colOff>
      <xdr:row>8</xdr:row>
      <xdr:rowOff>100965</xdr:rowOff>
    </xdr:from>
    <xdr:to>
      <xdr:col>17</xdr:col>
      <xdr:colOff>539750</xdr:colOff>
      <xdr:row>25</xdr:row>
      <xdr:rowOff>140970</xdr:rowOff>
    </xdr:to>
    <xdr:graphicFrame>
      <xdr:nvGraphicFramePr>
        <xdr:cNvPr id="2" name="Chart 1"/>
        <xdr:cNvGraphicFramePr/>
      </xdr:nvGraphicFramePr>
      <xdr:xfrm>
        <a:off x="6486525" y="2037715"/>
        <a:ext cx="5513070" cy="3170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8</xdr:row>
      <xdr:rowOff>69850</xdr:rowOff>
    </xdr:from>
    <xdr:to>
      <xdr:col>8</xdr:col>
      <xdr:colOff>273685</xdr:colOff>
      <xdr:row>26</xdr:row>
      <xdr:rowOff>18415</xdr:rowOff>
    </xdr:to>
    <xdr:graphicFrame>
      <xdr:nvGraphicFramePr>
        <xdr:cNvPr id="4" name="Chart 3"/>
        <xdr:cNvGraphicFramePr/>
      </xdr:nvGraphicFramePr>
      <xdr:xfrm>
        <a:off x="228600" y="2006600"/>
        <a:ext cx="6029960" cy="3263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436789</xdr:colOff>
      <xdr:row>22</xdr:row>
      <xdr:rowOff>166007</xdr:rowOff>
    </xdr:from>
    <xdr:to>
      <xdr:col>25</xdr:col>
      <xdr:colOff>436789</xdr:colOff>
      <xdr:row>41</xdr:row>
      <xdr:rowOff>16329</xdr:rowOff>
    </xdr:to>
    <xdr:sp>
      <xdr:nvSpPr>
        <xdr:cNvPr id="22" name="Rounded Rectangle 21"/>
        <xdr:cNvSpPr/>
      </xdr:nvSpPr>
      <xdr:spPr>
        <a:xfrm>
          <a:off x="11285220" y="4217035"/>
          <a:ext cx="5105400" cy="334899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261257</xdr:colOff>
      <xdr:row>22</xdr:row>
      <xdr:rowOff>166007</xdr:rowOff>
    </xdr:from>
    <xdr:to>
      <xdr:col>8</xdr:col>
      <xdr:colOff>261258</xdr:colOff>
      <xdr:row>41</xdr:row>
      <xdr:rowOff>16329</xdr:rowOff>
    </xdr:to>
    <xdr:sp>
      <xdr:nvSpPr>
        <xdr:cNvPr id="18" name="Rounded Rectangle 17"/>
        <xdr:cNvSpPr/>
      </xdr:nvSpPr>
      <xdr:spPr>
        <a:xfrm>
          <a:off x="260985" y="4217035"/>
          <a:ext cx="5105400" cy="334899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163286</xdr:colOff>
      <xdr:row>3</xdr:row>
      <xdr:rowOff>73025</xdr:rowOff>
    </xdr:from>
    <xdr:to>
      <xdr:col>17</xdr:col>
      <xdr:colOff>15875</xdr:colOff>
      <xdr:row>21</xdr:row>
      <xdr:rowOff>113847</xdr:rowOff>
    </xdr:to>
    <xdr:sp>
      <xdr:nvSpPr>
        <xdr:cNvPr id="7" name="Rounded Rectangle 6"/>
        <xdr:cNvSpPr/>
      </xdr:nvSpPr>
      <xdr:spPr>
        <a:xfrm>
          <a:off x="163195" y="625475"/>
          <a:ext cx="10701655" cy="33553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</xdr:colOff>
      <xdr:row>0</xdr:row>
      <xdr:rowOff>19050</xdr:rowOff>
    </xdr:from>
    <xdr:to>
      <xdr:col>26</xdr:col>
      <xdr:colOff>0</xdr:colOff>
      <xdr:row>2</xdr:row>
      <xdr:rowOff>114300</xdr:rowOff>
    </xdr:to>
    <xdr:sp>
      <xdr:nvSpPr>
        <xdr:cNvPr id="2" name="TextBox 1"/>
        <xdr:cNvSpPr txBox="1"/>
      </xdr:nvSpPr>
      <xdr:spPr>
        <a:xfrm>
          <a:off x="19050" y="19050"/>
          <a:ext cx="16573500" cy="4635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MLS '24 COBES DATA REPORT</a:t>
          </a:r>
          <a:endParaRPr lang="en-US" sz="2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140608</xdr:colOff>
      <xdr:row>4</xdr:row>
      <xdr:rowOff>124732</xdr:rowOff>
    </xdr:from>
    <xdr:to>
      <xdr:col>11</xdr:col>
      <xdr:colOff>508000</xdr:colOff>
      <xdr:row>8</xdr:row>
      <xdr:rowOff>179161</xdr:rowOff>
    </xdr:to>
    <xdr:sp>
      <xdr:nvSpPr>
        <xdr:cNvPr id="9" name="TextBox 8"/>
        <xdr:cNvSpPr txBox="1"/>
      </xdr:nvSpPr>
      <xdr:spPr>
        <a:xfrm>
          <a:off x="3331210" y="861060"/>
          <a:ext cx="4196715" cy="7912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solidFill>
                <a:schemeClr val="accent5">
                  <a:lumMod val="75000"/>
                </a:schemeClr>
              </a:solidFill>
            </a:rPr>
            <a:t>NUMBER OF HEALTH FACILITIES AND SERVICES</a:t>
          </a:r>
          <a:endParaRPr lang="en-US" sz="1400">
            <a:solidFill>
              <a:schemeClr val="accent5">
                <a:lumMod val="75000"/>
              </a:schemeClr>
            </a:solidFill>
          </a:endParaRPr>
        </a:p>
        <a:p>
          <a:pPr algn="ctr"/>
          <a:r>
            <a:rPr lang="en-US" sz="3200">
              <a:solidFill>
                <a:schemeClr val="accent5">
                  <a:lumMod val="75000"/>
                </a:schemeClr>
              </a:solidFill>
            </a:rPr>
            <a:t>17</a:t>
          </a:r>
          <a:endParaRPr lang="en-US" sz="3200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396874</xdr:colOff>
      <xdr:row>8</xdr:row>
      <xdr:rowOff>68037</xdr:rowOff>
    </xdr:from>
    <xdr:to>
      <xdr:col>13</xdr:col>
      <xdr:colOff>396875</xdr:colOff>
      <xdr:row>20</xdr:row>
      <xdr:rowOff>68037</xdr:rowOff>
    </xdr:to>
    <xdr:graphicFrame>
      <xdr:nvGraphicFramePr>
        <xdr:cNvPr id="14" name="Chart 13"/>
        <xdr:cNvGraphicFramePr/>
      </xdr:nvGraphicFramePr>
      <xdr:xfrm>
        <a:off x="2310765" y="1541145"/>
        <a:ext cx="6382385" cy="22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269875</xdr:colOff>
      <xdr:row>3</xdr:row>
      <xdr:rowOff>73025</xdr:rowOff>
    </xdr:from>
    <xdr:to>
      <xdr:col>25</xdr:col>
      <xdr:colOff>578305</xdr:colOff>
      <xdr:row>21</xdr:row>
      <xdr:rowOff>113847</xdr:rowOff>
    </xdr:to>
    <xdr:sp>
      <xdr:nvSpPr>
        <xdr:cNvPr id="16" name="Rounded Rectangle 15"/>
        <xdr:cNvSpPr/>
      </xdr:nvSpPr>
      <xdr:spPr>
        <a:xfrm>
          <a:off x="11118850" y="625475"/>
          <a:ext cx="5413375" cy="33553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476250</xdr:colOff>
      <xdr:row>6</xdr:row>
      <xdr:rowOff>61231</xdr:rowOff>
    </xdr:from>
    <xdr:to>
      <xdr:col>25</xdr:col>
      <xdr:colOff>496662</xdr:colOff>
      <xdr:row>20</xdr:row>
      <xdr:rowOff>69190</xdr:rowOff>
    </xdr:to>
    <xdr:graphicFrame>
      <xdr:nvGraphicFramePr>
        <xdr:cNvPr id="6" name="Chart 5"/>
        <xdr:cNvGraphicFramePr/>
      </xdr:nvGraphicFramePr>
      <xdr:xfrm>
        <a:off x="11325225" y="1165860"/>
        <a:ext cx="5125720" cy="258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421821</xdr:colOff>
      <xdr:row>24</xdr:row>
      <xdr:rowOff>81644</xdr:rowOff>
    </xdr:from>
    <xdr:to>
      <xdr:col>8</xdr:col>
      <xdr:colOff>95250</xdr:colOff>
      <xdr:row>39</xdr:row>
      <xdr:rowOff>157844</xdr:rowOff>
    </xdr:to>
    <xdr:graphicFrame>
      <xdr:nvGraphicFramePr>
        <xdr:cNvPr id="17" name="Chart 16"/>
        <xdr:cNvGraphicFramePr/>
      </xdr:nvGraphicFramePr>
      <xdr:xfrm>
        <a:off x="421640" y="4500880"/>
        <a:ext cx="477901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43735</xdr:colOff>
      <xdr:row>22</xdr:row>
      <xdr:rowOff>166007</xdr:rowOff>
    </xdr:from>
    <xdr:to>
      <xdr:col>17</xdr:col>
      <xdr:colOff>43735</xdr:colOff>
      <xdr:row>41</xdr:row>
      <xdr:rowOff>16329</xdr:rowOff>
    </xdr:to>
    <xdr:sp>
      <xdr:nvSpPr>
        <xdr:cNvPr id="20" name="Rounded Rectangle 19"/>
        <xdr:cNvSpPr/>
      </xdr:nvSpPr>
      <xdr:spPr>
        <a:xfrm>
          <a:off x="5786755" y="4217035"/>
          <a:ext cx="5105400" cy="334899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149677</xdr:colOff>
      <xdr:row>25</xdr:row>
      <xdr:rowOff>40822</xdr:rowOff>
    </xdr:from>
    <xdr:to>
      <xdr:col>16</xdr:col>
      <xdr:colOff>585107</xdr:colOff>
      <xdr:row>39</xdr:row>
      <xdr:rowOff>117022</xdr:rowOff>
    </xdr:to>
    <xdr:graphicFrame>
      <xdr:nvGraphicFramePr>
        <xdr:cNvPr id="19" name="Chart 18"/>
        <xdr:cNvGraphicFramePr/>
      </xdr:nvGraphicFramePr>
      <xdr:xfrm>
        <a:off x="5892800" y="4644390"/>
        <a:ext cx="4902835" cy="2654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553358</xdr:colOff>
      <xdr:row>25</xdr:row>
      <xdr:rowOff>70304</xdr:rowOff>
    </xdr:from>
    <xdr:to>
      <xdr:col>25</xdr:col>
      <xdr:colOff>376464</xdr:colOff>
      <xdr:row>39</xdr:row>
      <xdr:rowOff>146504</xdr:rowOff>
    </xdr:to>
    <xdr:graphicFrame>
      <xdr:nvGraphicFramePr>
        <xdr:cNvPr id="21" name="Chart 20"/>
        <xdr:cNvGraphicFramePr/>
      </xdr:nvGraphicFramePr>
      <xdr:xfrm>
        <a:off x="11402060" y="4673600"/>
        <a:ext cx="4928235" cy="2654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381000</xdr:colOff>
      <xdr:row>43</xdr:row>
      <xdr:rowOff>142874</xdr:rowOff>
    </xdr:from>
    <xdr:to>
      <xdr:col>17</xdr:col>
      <xdr:colOff>97692</xdr:colOff>
      <xdr:row>86</xdr:row>
      <xdr:rowOff>111125</xdr:rowOff>
    </xdr:to>
    <xdr:sp>
      <xdr:nvSpPr>
        <xdr:cNvPr id="4" name="Rounded Rectangle 3"/>
        <xdr:cNvSpPr/>
      </xdr:nvSpPr>
      <xdr:spPr>
        <a:xfrm>
          <a:off x="381000" y="8060690"/>
          <a:ext cx="10565130" cy="788733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166687</xdr:colOff>
      <xdr:row>44</xdr:row>
      <xdr:rowOff>142875</xdr:rowOff>
    </xdr:from>
    <xdr:to>
      <xdr:col>15</xdr:col>
      <xdr:colOff>404812</xdr:colOff>
      <xdr:row>49</xdr:row>
      <xdr:rowOff>95250</xdr:rowOff>
    </xdr:to>
    <xdr:sp>
      <xdr:nvSpPr>
        <xdr:cNvPr id="5" name="TextBox 4"/>
        <xdr:cNvSpPr txBox="1"/>
      </xdr:nvSpPr>
      <xdr:spPr>
        <a:xfrm>
          <a:off x="1442720" y="8245475"/>
          <a:ext cx="8534400" cy="873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aseline="0">
              <a:solidFill>
                <a:schemeClr val="accent5">
                  <a:lumMod val="75000"/>
                </a:schemeClr>
              </a:solidFill>
            </a:rPr>
            <a:t>CHALLENGES INHERENT IN HEALTHCARE PROVIDERS AND FACILITIES HINDERING ACCESS TO QUALITY CARE</a:t>
          </a:r>
          <a:endParaRPr lang="en-US" sz="2000" baseline="0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170689</xdr:colOff>
      <xdr:row>50</xdr:row>
      <xdr:rowOff>175851</xdr:rowOff>
    </xdr:from>
    <xdr:to>
      <xdr:col>8</xdr:col>
      <xdr:colOff>400623</xdr:colOff>
      <xdr:row>66</xdr:row>
      <xdr:rowOff>26976</xdr:rowOff>
    </xdr:to>
    <xdr:graphicFrame>
      <xdr:nvGraphicFramePr>
        <xdr:cNvPr id="23" name="Chart 22"/>
        <xdr:cNvGraphicFramePr/>
      </xdr:nvGraphicFramePr>
      <xdr:xfrm>
        <a:off x="808355" y="9382760"/>
        <a:ext cx="4697095" cy="2797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162622</xdr:colOff>
      <xdr:row>50</xdr:row>
      <xdr:rowOff>175851</xdr:rowOff>
    </xdr:from>
    <xdr:to>
      <xdr:col>16</xdr:col>
      <xdr:colOff>478064</xdr:colOff>
      <xdr:row>66</xdr:row>
      <xdr:rowOff>0</xdr:rowOff>
    </xdr:to>
    <xdr:graphicFrame>
      <xdr:nvGraphicFramePr>
        <xdr:cNvPr id="24" name="Chart 23"/>
        <xdr:cNvGraphicFramePr/>
      </xdr:nvGraphicFramePr>
      <xdr:xfrm>
        <a:off x="5906135" y="9382760"/>
        <a:ext cx="4782185" cy="2771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129886</xdr:colOff>
      <xdr:row>68</xdr:row>
      <xdr:rowOff>39687</xdr:rowOff>
    </xdr:from>
    <xdr:to>
      <xdr:col>8</xdr:col>
      <xdr:colOff>389659</xdr:colOff>
      <xdr:row>84</xdr:row>
      <xdr:rowOff>61334</xdr:rowOff>
    </xdr:to>
    <xdr:graphicFrame>
      <xdr:nvGraphicFramePr>
        <xdr:cNvPr id="25" name="Chart 24"/>
        <xdr:cNvGraphicFramePr/>
      </xdr:nvGraphicFramePr>
      <xdr:xfrm>
        <a:off x="767715" y="12561570"/>
        <a:ext cx="4726940" cy="2967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79374</xdr:colOff>
      <xdr:row>68</xdr:row>
      <xdr:rowOff>39687</xdr:rowOff>
    </xdr:from>
    <xdr:to>
      <xdr:col>16</xdr:col>
      <xdr:colOff>397107</xdr:colOff>
      <xdr:row>84</xdr:row>
      <xdr:rowOff>47625</xdr:rowOff>
    </xdr:to>
    <xdr:graphicFrame>
      <xdr:nvGraphicFramePr>
        <xdr:cNvPr id="26" name="Chart 25"/>
        <xdr:cNvGraphicFramePr/>
      </xdr:nvGraphicFramePr>
      <xdr:xfrm>
        <a:off x="5822315" y="12561570"/>
        <a:ext cx="4785360" cy="2954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464038</xdr:colOff>
      <xdr:row>43</xdr:row>
      <xdr:rowOff>146538</xdr:rowOff>
    </xdr:from>
    <xdr:to>
      <xdr:col>25</xdr:col>
      <xdr:colOff>537308</xdr:colOff>
      <xdr:row>86</xdr:row>
      <xdr:rowOff>122114</xdr:rowOff>
    </xdr:to>
    <xdr:sp>
      <xdr:nvSpPr>
        <xdr:cNvPr id="8" name="Rounded Rectangle 7"/>
        <xdr:cNvSpPr/>
      </xdr:nvSpPr>
      <xdr:spPr>
        <a:xfrm>
          <a:off x="11312525" y="8064500"/>
          <a:ext cx="5179060" cy="78943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146538</xdr:colOff>
      <xdr:row>45</xdr:row>
      <xdr:rowOff>97692</xdr:rowOff>
    </xdr:from>
    <xdr:to>
      <xdr:col>25</xdr:col>
      <xdr:colOff>366346</xdr:colOff>
      <xdr:row>49</xdr:row>
      <xdr:rowOff>48846</xdr:rowOff>
    </xdr:to>
    <xdr:sp>
      <xdr:nvSpPr>
        <xdr:cNvPr id="10" name="TextBox 9"/>
        <xdr:cNvSpPr txBox="1"/>
      </xdr:nvSpPr>
      <xdr:spPr>
        <a:xfrm>
          <a:off x="11633200" y="8383905"/>
          <a:ext cx="4686935" cy="687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>
              <a:solidFill>
                <a:schemeClr val="accent5">
                  <a:lumMod val="75000"/>
                </a:schemeClr>
              </a:solidFill>
            </a:rPr>
            <a:t>LEVEL OF GOVERNMENT AND PRIVATE SECTOR INVOLVEMENT IN HEALTH PROVISION</a:t>
          </a:r>
          <a:endParaRPr lang="en-US" sz="1800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18</xdr:col>
      <xdr:colOff>0</xdr:colOff>
      <xdr:row>50</xdr:row>
      <xdr:rowOff>73270</xdr:rowOff>
    </xdr:from>
    <xdr:to>
      <xdr:col>25</xdr:col>
      <xdr:colOff>366346</xdr:colOff>
      <xdr:row>65</xdr:row>
      <xdr:rowOff>80494</xdr:rowOff>
    </xdr:to>
    <xdr:graphicFrame>
      <xdr:nvGraphicFramePr>
        <xdr:cNvPr id="27" name="Chart 26"/>
        <xdr:cNvGraphicFramePr/>
      </xdr:nvGraphicFramePr>
      <xdr:xfrm>
        <a:off x="11487150" y="9280525"/>
        <a:ext cx="4832985" cy="2769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24423</xdr:colOff>
      <xdr:row>66</xdr:row>
      <xdr:rowOff>122115</xdr:rowOff>
    </xdr:from>
    <xdr:to>
      <xdr:col>25</xdr:col>
      <xdr:colOff>366346</xdr:colOff>
      <xdr:row>84</xdr:row>
      <xdr:rowOff>192199</xdr:rowOff>
    </xdr:to>
    <xdr:graphicFrame>
      <xdr:nvGraphicFramePr>
        <xdr:cNvPr id="28" name="Chart 27"/>
        <xdr:cNvGraphicFramePr/>
      </xdr:nvGraphicFramePr>
      <xdr:xfrm>
        <a:off x="11511280" y="12275820"/>
        <a:ext cx="4808855" cy="3376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0.12613611172689</cdr:y>
    </cdr:from>
    <cdr:to>
      <cdr:x>0.432703737947431</cdr:x>
      <cdr:y>0.919308357348703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0" y="361315"/>
          <a:ext cx="2080260" cy="227203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Are healthcare initiatives offered by the government/private sector to the citizens of Shao?</a:t>
          </a:r>
          <a:endParaRPr lang="en-US" sz="1800">
            <a:solidFill>
              <a:sysClr val="windowText" lastClr="000000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476250</xdr:colOff>
      <xdr:row>2</xdr:row>
      <xdr:rowOff>127000</xdr:rowOff>
    </xdr:from>
    <xdr:to>
      <xdr:col>17</xdr:col>
      <xdr:colOff>133985</xdr:colOff>
      <xdr:row>17</xdr:row>
      <xdr:rowOff>0</xdr:rowOff>
    </xdr:to>
    <xdr:graphicFrame>
      <xdr:nvGraphicFramePr>
        <xdr:cNvPr id="2" name="Chart 1"/>
        <xdr:cNvGraphicFramePr/>
      </xdr:nvGraphicFramePr>
      <xdr:xfrm>
        <a:off x="8318500" y="495300"/>
        <a:ext cx="4534535" cy="2635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577850</xdr:colOff>
      <xdr:row>6</xdr:row>
      <xdr:rowOff>0</xdr:rowOff>
    </xdr:from>
    <xdr:to>
      <xdr:col>9</xdr:col>
      <xdr:colOff>285750</xdr:colOff>
      <xdr:row>20</xdr:row>
      <xdr:rowOff>165100</xdr:rowOff>
    </xdr:to>
    <xdr:graphicFrame>
      <xdr:nvGraphicFramePr>
        <xdr:cNvPr id="3" name="Chart 2"/>
        <xdr:cNvGraphicFramePr/>
      </xdr:nvGraphicFramePr>
      <xdr:xfrm>
        <a:off x="3302000" y="1104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114300</xdr:colOff>
      <xdr:row>0</xdr:row>
      <xdr:rowOff>50800</xdr:rowOff>
    </xdr:from>
    <xdr:to>
      <xdr:col>15</xdr:col>
      <xdr:colOff>608965</xdr:colOff>
      <xdr:row>18</xdr:row>
      <xdr:rowOff>95250</xdr:rowOff>
    </xdr:to>
    <xdr:graphicFrame>
      <xdr:nvGraphicFramePr>
        <xdr:cNvPr id="4" name="Chart 3"/>
        <xdr:cNvGraphicFramePr/>
      </xdr:nvGraphicFramePr>
      <xdr:xfrm>
        <a:off x="5556250" y="50800"/>
        <a:ext cx="6590665" cy="3359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"/>
  <sheetViews>
    <sheetView tabSelected="1" zoomScale="67" zoomScaleNormal="67" workbookViewId="0">
      <selection activeCell="L28" sqref="L28"/>
    </sheetView>
  </sheetViews>
  <sheetFormatPr defaultColWidth="8.70909090909091" defaultRowHeight="14.5"/>
  <cols>
    <col min="7" max="7" width="11.4272727272727" customWidth="1"/>
    <col min="10" max="10" width="17.2818181818182" customWidth="1"/>
    <col min="13" max="13" width="12.4272727272727" customWidth="1"/>
    <col min="16" max="16" width="9.28181818181818" customWidth="1"/>
    <col min="22" max="22" width="22.8545454545455" customWidth="1"/>
  </cols>
  <sheetData>
    <row r="1" ht="27" customHeight="1" spans="1:23">
      <c r="A1" s="1" t="s">
        <v>0</v>
      </c>
      <c r="B1" s="1"/>
      <c r="D1" s="1" t="s">
        <v>1</v>
      </c>
      <c r="E1" s="1"/>
      <c r="G1" s="1" t="s">
        <v>2</v>
      </c>
      <c r="H1" s="1"/>
      <c r="J1" s="6" t="s">
        <v>3</v>
      </c>
      <c r="K1" s="6"/>
      <c r="M1" s="1" t="s">
        <v>4</v>
      </c>
      <c r="N1" s="1"/>
      <c r="P1" s="1" t="s">
        <v>5</v>
      </c>
      <c r="Q1" s="1"/>
      <c r="S1" s="1" t="s">
        <v>6</v>
      </c>
      <c r="T1" s="1"/>
      <c r="V1" s="6" t="s">
        <v>7</v>
      </c>
      <c r="W1" s="6"/>
    </row>
    <row r="2" spans="1:23">
      <c r="A2" s="9" t="s">
        <v>8</v>
      </c>
      <c r="B2">
        <v>49</v>
      </c>
      <c r="D2" t="s">
        <v>9</v>
      </c>
      <c r="E2" t="s">
        <v>10</v>
      </c>
      <c r="G2" t="s">
        <v>11</v>
      </c>
      <c r="H2">
        <v>173</v>
      </c>
      <c r="J2" t="s">
        <v>12</v>
      </c>
      <c r="K2">
        <v>143</v>
      </c>
      <c r="M2" t="s">
        <v>13</v>
      </c>
      <c r="N2">
        <v>282</v>
      </c>
      <c r="P2" t="s">
        <v>14</v>
      </c>
      <c r="Q2">
        <v>131</v>
      </c>
      <c r="S2" t="s">
        <v>15</v>
      </c>
      <c r="T2">
        <v>433</v>
      </c>
      <c r="V2" t="s">
        <v>16</v>
      </c>
      <c r="W2">
        <v>102</v>
      </c>
    </row>
    <row r="3" spans="1:23">
      <c r="A3" t="s">
        <v>17</v>
      </c>
      <c r="B3">
        <v>141</v>
      </c>
      <c r="D3">
        <v>230</v>
      </c>
      <c r="E3">
        <v>267</v>
      </c>
      <c r="G3" t="s">
        <v>18</v>
      </c>
      <c r="H3">
        <v>18</v>
      </c>
      <c r="J3" t="s">
        <v>19</v>
      </c>
      <c r="K3">
        <v>109</v>
      </c>
      <c r="M3" t="s">
        <v>20</v>
      </c>
      <c r="N3">
        <v>195</v>
      </c>
      <c r="P3" t="s">
        <v>21</v>
      </c>
      <c r="Q3">
        <v>330</v>
      </c>
      <c r="S3" t="s">
        <v>22</v>
      </c>
      <c r="T3">
        <v>24</v>
      </c>
      <c r="V3" t="s">
        <v>23</v>
      </c>
      <c r="W3">
        <v>80</v>
      </c>
    </row>
    <row r="4" spans="1:23">
      <c r="A4" t="s">
        <v>24</v>
      </c>
      <c r="B4">
        <v>111</v>
      </c>
      <c r="G4" t="s">
        <v>25</v>
      </c>
      <c r="H4">
        <v>36</v>
      </c>
      <c r="J4" t="s">
        <v>26</v>
      </c>
      <c r="K4">
        <v>80</v>
      </c>
      <c r="M4" t="s">
        <v>27</v>
      </c>
      <c r="N4">
        <v>15</v>
      </c>
      <c r="P4" t="s">
        <v>28</v>
      </c>
      <c r="Q4">
        <v>2</v>
      </c>
      <c r="S4" t="s">
        <v>29</v>
      </c>
      <c r="T4">
        <v>40</v>
      </c>
      <c r="V4" t="s">
        <v>30</v>
      </c>
      <c r="W4">
        <v>181</v>
      </c>
    </row>
    <row r="5" spans="1:23">
      <c r="A5" t="s">
        <v>31</v>
      </c>
      <c r="B5">
        <v>80</v>
      </c>
      <c r="G5" t="s">
        <v>32</v>
      </c>
      <c r="H5">
        <v>143</v>
      </c>
      <c r="J5" t="s">
        <v>33</v>
      </c>
      <c r="K5">
        <v>44</v>
      </c>
      <c r="P5" t="s">
        <v>34</v>
      </c>
      <c r="Q5">
        <v>34</v>
      </c>
      <c r="V5" t="s">
        <v>35</v>
      </c>
      <c r="W5">
        <v>134</v>
      </c>
    </row>
    <row r="6" spans="1:11">
      <c r="A6" t="s">
        <v>36</v>
      </c>
      <c r="B6">
        <v>39</v>
      </c>
      <c r="G6" t="s">
        <v>37</v>
      </c>
      <c r="H6">
        <v>20</v>
      </c>
      <c r="J6" t="s">
        <v>38</v>
      </c>
      <c r="K6">
        <v>58</v>
      </c>
    </row>
    <row r="7" spans="1:8">
      <c r="A7" t="s">
        <v>39</v>
      </c>
      <c r="B7">
        <v>76</v>
      </c>
      <c r="G7" t="s">
        <v>40</v>
      </c>
      <c r="H7">
        <v>54</v>
      </c>
    </row>
    <row r="8" spans="7:8">
      <c r="G8" t="s">
        <v>41</v>
      </c>
      <c r="H8">
        <v>10</v>
      </c>
    </row>
    <row r="9" spans="7:8">
      <c r="G9" t="s">
        <v>29</v>
      </c>
      <c r="H9">
        <v>37</v>
      </c>
    </row>
  </sheetData>
  <mergeCells count="8">
    <mergeCell ref="A1:B1"/>
    <mergeCell ref="D1:E1"/>
    <mergeCell ref="G1:H1"/>
    <mergeCell ref="J1:K1"/>
    <mergeCell ref="M1:N1"/>
    <mergeCell ref="P1:Q1"/>
    <mergeCell ref="S1:T1"/>
    <mergeCell ref="V1:W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zoomScale="77" zoomScaleNormal="77" topLeftCell="D1" workbookViewId="0">
      <selection activeCell="P24" sqref="P24"/>
    </sheetView>
  </sheetViews>
  <sheetFormatPr defaultColWidth="9" defaultRowHeight="14.5" outlineLevelRow="5"/>
  <cols>
    <col min="2" max="4" width="9" customWidth="1"/>
    <col min="5" max="5" width="22.1363636363636" customWidth="1"/>
    <col min="6" max="6" width="20.5727272727273" customWidth="1"/>
    <col min="7" max="7" width="20.8545454545455" customWidth="1"/>
  </cols>
  <sheetData>
    <row r="1" spans="1:10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</row>
    <row r="2" spans="1:8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</row>
    <row r="3" spans="1:8">
      <c r="A3">
        <v>1</v>
      </c>
      <c r="B3">
        <v>0</v>
      </c>
      <c r="C3">
        <v>0</v>
      </c>
      <c r="D3">
        <v>2</v>
      </c>
      <c r="E3">
        <v>1</v>
      </c>
      <c r="F3">
        <v>1</v>
      </c>
      <c r="G3">
        <v>14</v>
      </c>
      <c r="H3">
        <f>SUM(A3:G3)</f>
        <v>19</v>
      </c>
    </row>
    <row r="4" s="8" customFormat="1" spans="1:10">
      <c r="A4" s="1" t="s">
        <v>51</v>
      </c>
      <c r="B4" s="1"/>
      <c r="C4" s="1"/>
      <c r="D4" s="1"/>
      <c r="E4" s="1"/>
      <c r="F4" s="1"/>
      <c r="G4" s="7"/>
      <c r="H4" s="7"/>
      <c r="I4" s="7"/>
      <c r="J4" s="7"/>
    </row>
    <row r="5" spans="1:4">
      <c r="A5" t="s">
        <v>43</v>
      </c>
      <c r="B5" t="s">
        <v>48</v>
      </c>
      <c r="C5" t="s">
        <v>52</v>
      </c>
      <c r="D5" t="s">
        <v>53</v>
      </c>
    </row>
    <row r="6" spans="1:4">
      <c r="A6">
        <v>229</v>
      </c>
      <c r="B6">
        <v>174</v>
      </c>
      <c r="C6">
        <v>196</v>
      </c>
      <c r="D6">
        <v>27</v>
      </c>
    </row>
  </sheetData>
  <mergeCells count="2">
    <mergeCell ref="A1:J1"/>
    <mergeCell ref="A4:F4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zoomScale="70" zoomScaleNormal="70" topLeftCell="B1" workbookViewId="0">
      <selection activeCell="D24" sqref="D24"/>
    </sheetView>
  </sheetViews>
  <sheetFormatPr defaultColWidth="9" defaultRowHeight="14.5" outlineLevelCol="6"/>
  <cols>
    <col min="1" max="1" width="12.2818181818182" customWidth="1"/>
    <col min="2" max="2" width="12.4272727272727" customWidth="1"/>
    <col min="3" max="3" width="13.1363636363636" customWidth="1"/>
    <col min="4" max="4" width="16.5727272727273" customWidth="1"/>
    <col min="5" max="5" width="14.7090909090909" customWidth="1"/>
  </cols>
  <sheetData>
    <row r="1" s="2" customFormat="1" spans="1:7">
      <c r="A1" s="1" t="s">
        <v>54</v>
      </c>
      <c r="B1" s="1"/>
      <c r="C1" s="1"/>
      <c r="D1" s="1"/>
      <c r="E1" s="1"/>
      <c r="F1" s="7"/>
      <c r="G1" s="7"/>
    </row>
    <row r="2" spans="1:5">
      <c r="A2" t="s">
        <v>55</v>
      </c>
      <c r="B2" t="s">
        <v>56</v>
      </c>
      <c r="C2" t="s">
        <v>57</v>
      </c>
      <c r="D2" t="s">
        <v>58</v>
      </c>
      <c r="E2" t="s">
        <v>59</v>
      </c>
    </row>
    <row r="3" spans="1:5">
      <c r="A3">
        <v>101</v>
      </c>
      <c r="B3">
        <v>200</v>
      </c>
      <c r="C3">
        <v>134</v>
      </c>
      <c r="D3">
        <v>20</v>
      </c>
      <c r="E3">
        <v>6</v>
      </c>
    </row>
    <row r="4" s="2" customFormat="1" spans="1:6">
      <c r="A4" s="1" t="s">
        <v>60</v>
      </c>
      <c r="B4" s="1"/>
      <c r="C4" s="1"/>
      <c r="D4" s="1"/>
      <c r="E4" s="1"/>
      <c r="F4" s="7"/>
    </row>
    <row r="5" spans="1:4">
      <c r="A5" t="s">
        <v>61</v>
      </c>
      <c r="B5" t="s">
        <v>62</v>
      </c>
      <c r="C5" t="s">
        <v>63</v>
      </c>
      <c r="D5" t="s">
        <v>64</v>
      </c>
    </row>
    <row r="6" spans="1:4">
      <c r="A6">
        <v>245</v>
      </c>
      <c r="B6">
        <v>252</v>
      </c>
      <c r="C6">
        <v>185</v>
      </c>
      <c r="D6">
        <v>67</v>
      </c>
    </row>
    <row r="7" s="2" customFormat="1" spans="1:7">
      <c r="A7" s="1" t="s">
        <v>65</v>
      </c>
      <c r="B7" s="1"/>
      <c r="C7" s="1"/>
      <c r="D7" s="1"/>
      <c r="E7" s="1"/>
      <c r="F7" s="7"/>
      <c r="G7" s="7"/>
    </row>
    <row r="8" ht="43.5" spans="1:5">
      <c r="A8" s="4" t="s">
        <v>66</v>
      </c>
      <c r="B8" s="4" t="s">
        <v>67</v>
      </c>
      <c r="C8" s="4" t="s">
        <v>68</v>
      </c>
      <c r="D8" s="4" t="s">
        <v>69</v>
      </c>
      <c r="E8" t="s">
        <v>70</v>
      </c>
    </row>
    <row r="9" spans="1:5">
      <c r="A9">
        <v>245</v>
      </c>
      <c r="B9">
        <v>14</v>
      </c>
      <c r="C9">
        <v>8</v>
      </c>
      <c r="D9">
        <v>37</v>
      </c>
      <c r="E9">
        <v>9</v>
      </c>
    </row>
  </sheetData>
  <mergeCells count="3">
    <mergeCell ref="A1:E1"/>
    <mergeCell ref="A4:E4"/>
    <mergeCell ref="A7:E7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="68" zoomScaleNormal="68" workbookViewId="0">
      <selection activeCell="A8" sqref="A8:D8"/>
    </sheetView>
  </sheetViews>
  <sheetFormatPr defaultColWidth="8.70909090909091" defaultRowHeight="14.5" outlineLevelCol="4"/>
  <cols>
    <col min="1" max="1" width="18.7090909090909" customWidth="1"/>
    <col min="2" max="2" width="20.8545454545455" customWidth="1"/>
    <col min="3" max="3" width="18.4272727272727" customWidth="1"/>
    <col min="4" max="4" width="18.2818181818182" customWidth="1"/>
  </cols>
  <sheetData>
    <row r="1" s="2" customFormat="1" spans="1:5">
      <c r="A1" s="6" t="s">
        <v>71</v>
      </c>
      <c r="B1" s="6"/>
      <c r="C1" s="6"/>
      <c r="D1" s="6"/>
      <c r="E1" s="6"/>
    </row>
    <row r="2" s="2" customFormat="1" spans="1:5">
      <c r="A2" s="1" t="s">
        <v>72</v>
      </c>
      <c r="B2" s="1"/>
      <c r="C2" s="1" t="s">
        <v>73</v>
      </c>
      <c r="D2" s="1"/>
      <c r="E2" s="1"/>
    </row>
    <row r="3" spans="1:5">
      <c r="A3" t="s">
        <v>74</v>
      </c>
      <c r="B3" t="s">
        <v>75</v>
      </c>
      <c r="C3" t="s">
        <v>76</v>
      </c>
      <c r="D3" t="s">
        <v>77</v>
      </c>
      <c r="E3" t="s">
        <v>78</v>
      </c>
    </row>
    <row r="4" spans="1:5">
      <c r="A4">
        <v>14</v>
      </c>
      <c r="B4">
        <v>3</v>
      </c>
      <c r="C4">
        <v>3</v>
      </c>
      <c r="D4">
        <v>3</v>
      </c>
      <c r="E4">
        <v>11</v>
      </c>
    </row>
    <row r="5" spans="1:4">
      <c r="A5" s="1" t="s">
        <v>79</v>
      </c>
      <c r="B5" s="1"/>
      <c r="C5" s="1"/>
      <c r="D5" s="1"/>
    </row>
    <row r="6" s="4" customFormat="1" ht="29" spans="1:4">
      <c r="A6" s="4" t="s">
        <v>80</v>
      </c>
      <c r="B6" s="4" t="s">
        <v>81</v>
      </c>
      <c r="C6" s="4" t="s">
        <v>82</v>
      </c>
      <c r="D6" s="4" t="s">
        <v>83</v>
      </c>
    </row>
    <row r="7" spans="1:4">
      <c r="A7">
        <v>0</v>
      </c>
      <c r="B7">
        <v>3</v>
      </c>
      <c r="C7">
        <v>13</v>
      </c>
      <c r="D7">
        <v>1</v>
      </c>
    </row>
    <row r="8" spans="1:4">
      <c r="A8" s="1" t="s">
        <v>84</v>
      </c>
      <c r="B8" s="1"/>
      <c r="C8" s="1"/>
      <c r="D8" s="1"/>
    </row>
    <row r="9" ht="29" spans="1:2">
      <c r="A9" s="4" t="s">
        <v>85</v>
      </c>
      <c r="B9" s="4" t="s">
        <v>86</v>
      </c>
    </row>
    <row r="10" spans="1:2">
      <c r="A10" s="4">
        <v>0</v>
      </c>
      <c r="B10" s="4">
        <v>17</v>
      </c>
    </row>
    <row r="11" spans="1:4">
      <c r="A11" s="1" t="s">
        <v>87</v>
      </c>
      <c r="B11" s="1"/>
      <c r="C11" s="1"/>
      <c r="D11" s="1"/>
    </row>
  </sheetData>
  <mergeCells count="6">
    <mergeCell ref="A1:E1"/>
    <mergeCell ref="A2:B2"/>
    <mergeCell ref="C2:E2"/>
    <mergeCell ref="A5:D5"/>
    <mergeCell ref="A8:D8"/>
    <mergeCell ref="A11:D1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82" zoomScaleNormal="82" workbookViewId="0">
      <selection activeCell="D8" sqref="D8"/>
    </sheetView>
  </sheetViews>
  <sheetFormatPr defaultColWidth="8.70909090909091" defaultRowHeight="14.5" outlineLevelRow="6"/>
  <cols>
    <col min="1" max="1" width="14.8545454545455" customWidth="1"/>
    <col min="2" max="2" width="13.4272727272727" customWidth="1"/>
    <col min="3" max="3" width="13.8545454545455" customWidth="1"/>
  </cols>
  <sheetData>
    <row r="1" spans="1:9">
      <c r="A1" s="1" t="s">
        <v>88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89</v>
      </c>
      <c r="B2" s="5"/>
      <c r="C2" s="5"/>
      <c r="D2" s="5"/>
      <c r="E2" s="5"/>
      <c r="F2" s="5"/>
      <c r="G2" s="5"/>
      <c r="H2" s="5"/>
      <c r="I2" s="5"/>
    </row>
    <row r="3" spans="1:2">
      <c r="A3" t="s">
        <v>90</v>
      </c>
      <c r="B3" t="s">
        <v>91</v>
      </c>
    </row>
    <row r="4" spans="1:2">
      <c r="A4">
        <v>364</v>
      </c>
      <c r="B4">
        <v>133</v>
      </c>
    </row>
    <row r="5" s="2" customFormat="1" spans="1:9">
      <c r="A5" s="1" t="s">
        <v>92</v>
      </c>
      <c r="B5" s="1"/>
      <c r="C5" s="1"/>
      <c r="D5" s="1"/>
      <c r="E5" s="1"/>
      <c r="F5" s="1"/>
      <c r="G5" s="1"/>
      <c r="H5" s="1"/>
      <c r="I5" s="1"/>
    </row>
    <row r="6" s="4" customFormat="1" ht="51" customHeight="1" spans="1:3">
      <c r="A6" s="4" t="s">
        <v>93</v>
      </c>
      <c r="B6" s="4" t="s">
        <v>94</v>
      </c>
      <c r="C6" s="4" t="s">
        <v>95</v>
      </c>
    </row>
    <row r="7" spans="1:3">
      <c r="A7">
        <v>207</v>
      </c>
      <c r="B7">
        <v>293</v>
      </c>
      <c r="C7">
        <v>245</v>
      </c>
    </row>
  </sheetData>
  <mergeCells count="3">
    <mergeCell ref="A1:I1"/>
    <mergeCell ref="A2:I2"/>
    <mergeCell ref="A5:I5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zoomScale="64" zoomScaleNormal="64" topLeftCell="H4" workbookViewId="0">
      <selection activeCell="A1" sqref="$A1:$XFD1048576"/>
    </sheetView>
  </sheetViews>
  <sheetFormatPr defaultColWidth="9" defaultRowHeight="14.5"/>
  <cols>
    <col min="1" max="16384" width="9.13636363636364" style="3"/>
  </cols>
  <sheetData/>
  <mergeCells count="1">
    <mergeCell ref="A1:XFD1048576"/>
  </mergeCells>
  <pageMargins left="0.25" right="0.25" top="0.75" bottom="0.75" header="0.3" footer="0.3"/>
  <pageSetup paperSize="8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M26" sqref="M26"/>
    </sheetView>
  </sheetViews>
  <sheetFormatPr defaultColWidth="8.72727272727273" defaultRowHeight="14.5" outlineLevelRow="5" outlineLevelCol="3"/>
  <cols>
    <col min="1" max="1" width="22.9090909090909" customWidth="1"/>
    <col min="2" max="2" width="16.0909090909091" customWidth="1"/>
    <col min="3" max="3" width="15.0909090909091" customWidth="1"/>
    <col min="4" max="4" width="14.5454545454545" customWidth="1"/>
  </cols>
  <sheetData>
    <row r="1" spans="1:3">
      <c r="A1" s="1" t="s">
        <v>96</v>
      </c>
      <c r="B1" s="1"/>
      <c r="C1" s="1"/>
    </row>
    <row r="2" spans="1:3">
      <c r="A2" t="s">
        <v>97</v>
      </c>
      <c r="B2" t="s">
        <v>98</v>
      </c>
      <c r="C2" t="s">
        <v>99</v>
      </c>
    </row>
    <row r="3" spans="1:3">
      <c r="A3">
        <v>183</v>
      </c>
      <c r="B3">
        <v>93</v>
      </c>
      <c r="C3">
        <v>221</v>
      </c>
    </row>
    <row r="4" spans="1:3">
      <c r="A4" s="1" t="s">
        <v>100</v>
      </c>
      <c r="B4" s="1"/>
      <c r="C4" s="1"/>
    </row>
    <row r="5" spans="1:4">
      <c r="A5" t="s">
        <v>101</v>
      </c>
      <c r="B5" t="s">
        <v>102</v>
      </c>
      <c r="C5" t="s">
        <v>103</v>
      </c>
      <c r="D5" t="s">
        <v>104</v>
      </c>
    </row>
    <row r="6" spans="1:4">
      <c r="A6">
        <v>0</v>
      </c>
      <c r="B6">
        <v>244</v>
      </c>
      <c r="C6">
        <v>82</v>
      </c>
      <c r="D6">
        <v>293</v>
      </c>
    </row>
  </sheetData>
  <mergeCells count="2">
    <mergeCell ref="A1:C1"/>
    <mergeCell ref="A4:C4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D8" sqref="D8"/>
    </sheetView>
  </sheetViews>
  <sheetFormatPr defaultColWidth="8.72727272727273" defaultRowHeight="14.5" outlineLevelCol="1"/>
  <cols>
    <col min="1" max="1" width="20.4545454545455" customWidth="1"/>
    <col min="2" max="2" width="31.2727272727273" customWidth="1"/>
  </cols>
  <sheetData>
    <row r="1" spans="1:2">
      <c r="A1" s="1" t="s">
        <v>105</v>
      </c>
      <c r="B1" s="1"/>
    </row>
    <row r="2" spans="1:2">
      <c r="A2" s="2" t="s">
        <v>106</v>
      </c>
      <c r="B2" s="2" t="s">
        <v>107</v>
      </c>
    </row>
    <row r="3" spans="1:2">
      <c r="A3" t="s">
        <v>108</v>
      </c>
      <c r="B3">
        <v>93</v>
      </c>
    </row>
    <row r="4" spans="1:2">
      <c r="A4" t="s">
        <v>109</v>
      </c>
      <c r="B4">
        <v>47</v>
      </c>
    </row>
    <row r="5" spans="1:2">
      <c r="A5" t="s">
        <v>110</v>
      </c>
      <c r="B5">
        <v>32</v>
      </c>
    </row>
    <row r="6" spans="1:2">
      <c r="A6" t="s">
        <v>111</v>
      </c>
      <c r="B6">
        <v>31</v>
      </c>
    </row>
    <row r="7" spans="1:2">
      <c r="A7" t="s">
        <v>112</v>
      </c>
      <c r="B7">
        <v>12</v>
      </c>
    </row>
    <row r="8" spans="1:2">
      <c r="A8" t="s">
        <v>113</v>
      </c>
      <c r="B8">
        <v>9</v>
      </c>
    </row>
    <row r="9" spans="1:2">
      <c r="A9" t="s">
        <v>114</v>
      </c>
      <c r="B9">
        <v>8</v>
      </c>
    </row>
    <row r="10" spans="1:2">
      <c r="A10" t="s">
        <v>115</v>
      </c>
      <c r="B10">
        <v>8</v>
      </c>
    </row>
    <row r="11" spans="1:2">
      <c r="A11" t="s">
        <v>116</v>
      </c>
      <c r="B11">
        <v>6</v>
      </c>
    </row>
    <row r="12" spans="1:2">
      <c r="A12" t="s">
        <v>117</v>
      </c>
      <c r="B12">
        <v>4</v>
      </c>
    </row>
    <row r="13" spans="1:2">
      <c r="A13" t="s">
        <v>118</v>
      </c>
      <c r="B13">
        <v>4</v>
      </c>
    </row>
    <row r="14" spans="1:2">
      <c r="A14" t="s">
        <v>119</v>
      </c>
      <c r="B14">
        <v>2</v>
      </c>
    </row>
    <row r="15" spans="1:2">
      <c r="A15" t="s">
        <v>120</v>
      </c>
      <c r="B15">
        <v>2</v>
      </c>
    </row>
    <row r="16" spans="1:2">
      <c r="A16" t="s">
        <v>121</v>
      </c>
      <c r="B16">
        <v>2</v>
      </c>
    </row>
    <row r="17" spans="1:2">
      <c r="A17" t="s">
        <v>122</v>
      </c>
      <c r="B17">
        <v>2</v>
      </c>
    </row>
    <row r="18" spans="1:2">
      <c r="A18" t="s">
        <v>123</v>
      </c>
      <c r="B18">
        <v>2</v>
      </c>
    </row>
    <row r="19" spans="1:2">
      <c r="A19" t="s">
        <v>124</v>
      </c>
      <c r="B19">
        <v>2</v>
      </c>
    </row>
    <row r="20" spans="1:2">
      <c r="A20" t="s">
        <v>125</v>
      </c>
      <c r="B20">
        <v>1</v>
      </c>
    </row>
    <row r="21" spans="1:2">
      <c r="A21" t="s">
        <v>126</v>
      </c>
      <c r="B21">
        <v>1</v>
      </c>
    </row>
    <row r="22" spans="1:2">
      <c r="A22" t="s">
        <v>127</v>
      </c>
      <c r="B22">
        <v>1</v>
      </c>
    </row>
    <row r="23" spans="1:2">
      <c r="A23" t="s">
        <v>128</v>
      </c>
      <c r="B23">
        <v>1</v>
      </c>
    </row>
  </sheetData>
  <sortState ref="A3:B23">
    <sortCondition ref="B3" descending="1"/>
  </sortState>
  <mergeCells count="1">
    <mergeCell ref="A1:B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Socio-demographics</vt:lpstr>
      <vt:lpstr>MLO 1</vt:lpstr>
      <vt:lpstr>MLO 2</vt:lpstr>
      <vt:lpstr>MLO 3</vt:lpstr>
      <vt:lpstr>MLO 4</vt:lpstr>
      <vt:lpstr>Dashboard</vt:lpstr>
      <vt:lpstr>Waste &amp; Sewage Disposal System</vt:lpstr>
      <vt:lpstr>Prevalence of ailments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Similoluwa Okusanya</dc:creator>
  <cp:lastModifiedBy>len</cp:lastModifiedBy>
  <dcterms:created xsi:type="dcterms:W3CDTF">2025-03-24T07:10:00Z</dcterms:created>
  <cp:lastPrinted>2025-03-26T13:41:00Z</cp:lastPrinted>
  <dcterms:modified xsi:type="dcterms:W3CDTF">2025-05-18T05:55:57Z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DC979B0CF8094F0A98F1E171E6E29168_13</vt:lpwstr>
  </property>
  <property fmtid="{D5CDD505-2E9C-101B-9397-08002B2CF9AE}" pid="3" name="KSOProductBuildVer">
    <vt:lpwstr>1033-12.2.0.20795</vt:lpwstr>
  </property>
</Properties>
</file>